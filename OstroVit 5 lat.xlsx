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34\Desktop\SQL\TEST\OstroVit\"/>
    </mc:Choice>
  </mc:AlternateContent>
  <bookViews>
    <workbookView xWindow="0" yWindow="0" windowWidth="2370" windowHeight="0" firstSheet="1" activeTab="7"/>
  </bookViews>
  <sheets>
    <sheet name="START" sheetId="1" r:id="rId1"/>
    <sheet name="DASHBOARD" sheetId="2" r:id="rId2"/>
    <sheet name="ZALOZENIA" sheetId="3" r:id="rId3"/>
    <sheet name="PLAN_5_LAT" sheetId="4" r:id="rId4"/>
    <sheet name="SCENARIUSZE" sheetId="5" r:id="rId5"/>
    <sheet name="PROG_RENT" sheetId="6" r:id="rId6"/>
    <sheet name="DANE_HISTORYCZNE" sheetId="7" r:id="rId7"/>
    <sheet name="TEORIA_I_KPI" sheetId="8" r:id="rId8"/>
  </sheets>
  <calcPr calcId="162913"/>
</workbook>
</file>

<file path=xl/calcChain.xml><?xml version="1.0" encoding="utf-8"?>
<calcChain xmlns="http://schemas.openxmlformats.org/spreadsheetml/2006/main">
  <c r="E18" i="7" l="1"/>
  <c r="C18" i="7"/>
  <c r="B18" i="7"/>
  <c r="F18" i="7" s="1"/>
  <c r="F16" i="7"/>
  <c r="F15" i="7"/>
  <c r="F14" i="7"/>
  <c r="F13" i="7"/>
  <c r="F12" i="7"/>
  <c r="F11" i="7"/>
  <c r="F10" i="7"/>
  <c r="F9" i="7"/>
  <c r="F8" i="7"/>
  <c r="F7" i="7"/>
  <c r="F6" i="7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N20" i="5"/>
  <c r="C20" i="6" s="1"/>
  <c r="E20" i="5"/>
  <c r="J20" i="5" s="1"/>
  <c r="D20" i="5"/>
  <c r="G20" i="5" s="1"/>
  <c r="C20" i="5"/>
  <c r="F20" i="5" s="1"/>
  <c r="N19" i="5"/>
  <c r="R19" i="5" s="1"/>
  <c r="G19" i="5"/>
  <c r="F19" i="5"/>
  <c r="H19" i="5" s="1"/>
  <c r="E19" i="5"/>
  <c r="J19" i="5" s="1"/>
  <c r="D19" i="5"/>
  <c r="C19" i="5"/>
  <c r="R18" i="5"/>
  <c r="D18" i="6" s="1"/>
  <c r="N18" i="5"/>
  <c r="C18" i="6" s="1"/>
  <c r="I18" i="5"/>
  <c r="H18" i="5"/>
  <c r="G18" i="5"/>
  <c r="F18" i="5"/>
  <c r="T18" i="5" s="1"/>
  <c r="E18" i="5"/>
  <c r="J18" i="5" s="1"/>
  <c r="D18" i="5"/>
  <c r="C18" i="5"/>
  <c r="R17" i="5"/>
  <c r="D17" i="6" s="1"/>
  <c r="N17" i="5"/>
  <c r="C17" i="6" s="1"/>
  <c r="J17" i="5"/>
  <c r="I17" i="5"/>
  <c r="E17" i="5"/>
  <c r="D17" i="5"/>
  <c r="G17" i="5" s="1"/>
  <c r="C17" i="5"/>
  <c r="F17" i="5" s="1"/>
  <c r="N16" i="5"/>
  <c r="R16" i="5" s="1"/>
  <c r="F16" i="5"/>
  <c r="E16" i="5"/>
  <c r="J16" i="5" s="1"/>
  <c r="D16" i="5"/>
  <c r="G16" i="5" s="1"/>
  <c r="T16" i="5" s="1"/>
  <c r="C16" i="5"/>
  <c r="N15" i="5"/>
  <c r="R15" i="5" s="1"/>
  <c r="J15" i="5"/>
  <c r="I15" i="5"/>
  <c r="G15" i="5"/>
  <c r="F15" i="5"/>
  <c r="T15" i="5" s="1"/>
  <c r="E15" i="5"/>
  <c r="D15" i="5"/>
  <c r="C15" i="5"/>
  <c r="R14" i="5"/>
  <c r="D14" i="6" s="1"/>
  <c r="N14" i="5"/>
  <c r="C14" i="6" s="1"/>
  <c r="J14" i="5"/>
  <c r="I14" i="5"/>
  <c r="E14" i="5"/>
  <c r="D14" i="5"/>
  <c r="G14" i="5" s="1"/>
  <c r="C14" i="5"/>
  <c r="F14" i="5" s="1"/>
  <c r="S13" i="5"/>
  <c r="R13" i="5"/>
  <c r="D13" i="6" s="1"/>
  <c r="N13" i="5"/>
  <c r="C13" i="6" s="1"/>
  <c r="J13" i="5"/>
  <c r="E13" i="5"/>
  <c r="I13" i="5" s="1"/>
  <c r="D13" i="5"/>
  <c r="G13" i="5" s="1"/>
  <c r="C13" i="5"/>
  <c r="F13" i="5" s="1"/>
  <c r="N12" i="5"/>
  <c r="C12" i="6" s="1"/>
  <c r="E12" i="5"/>
  <c r="J12" i="5" s="1"/>
  <c r="D12" i="5"/>
  <c r="G12" i="5" s="1"/>
  <c r="C12" i="5"/>
  <c r="F12" i="5" s="1"/>
  <c r="N11" i="5"/>
  <c r="R11" i="5" s="1"/>
  <c r="G11" i="5"/>
  <c r="F11" i="5"/>
  <c r="H11" i="5" s="1"/>
  <c r="E11" i="5"/>
  <c r="J11" i="5" s="1"/>
  <c r="D11" i="5"/>
  <c r="C11" i="5"/>
  <c r="R10" i="5"/>
  <c r="D10" i="6" s="1"/>
  <c r="N10" i="5"/>
  <c r="C10" i="6" s="1"/>
  <c r="J10" i="5"/>
  <c r="I10" i="5"/>
  <c r="H10" i="5"/>
  <c r="K10" i="5" s="1"/>
  <c r="L10" i="5" s="1"/>
  <c r="G10" i="5"/>
  <c r="F10" i="5"/>
  <c r="T10" i="5" s="1"/>
  <c r="E10" i="5"/>
  <c r="D10" i="5"/>
  <c r="C10" i="5"/>
  <c r="R9" i="5"/>
  <c r="D9" i="6" s="1"/>
  <c r="N9" i="5"/>
  <c r="C9" i="6" s="1"/>
  <c r="J9" i="5"/>
  <c r="I9" i="5"/>
  <c r="E9" i="5"/>
  <c r="D9" i="5"/>
  <c r="G9" i="5" s="1"/>
  <c r="C9" i="5"/>
  <c r="F9" i="5" s="1"/>
  <c r="N8" i="5"/>
  <c r="R8" i="5" s="1"/>
  <c r="F8" i="5"/>
  <c r="E8" i="5"/>
  <c r="J8" i="5" s="1"/>
  <c r="D8" i="5"/>
  <c r="G8" i="5" s="1"/>
  <c r="T8" i="5" s="1"/>
  <c r="C8" i="5"/>
  <c r="N7" i="5"/>
  <c r="R7" i="5" s="1"/>
  <c r="J7" i="5"/>
  <c r="I7" i="5"/>
  <c r="G7" i="5"/>
  <c r="F7" i="5"/>
  <c r="T7" i="5" s="1"/>
  <c r="E7" i="5"/>
  <c r="D7" i="5"/>
  <c r="C7" i="5"/>
  <c r="R6" i="5"/>
  <c r="D6" i="6" s="1"/>
  <c r="N6" i="5"/>
  <c r="C6" i="6" s="1"/>
  <c r="J6" i="5"/>
  <c r="I6" i="5"/>
  <c r="E6" i="5"/>
  <c r="D6" i="5"/>
  <c r="G6" i="5" s="1"/>
  <c r="C6" i="5"/>
  <c r="F6" i="5" s="1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C22" i="2"/>
  <c r="C21" i="2"/>
  <c r="C20" i="2"/>
  <c r="C19" i="2"/>
  <c r="C18" i="2"/>
  <c r="B9" i="2"/>
  <c r="C13" i="2" s="1"/>
  <c r="H9" i="5" l="1"/>
  <c r="K9" i="5" s="1"/>
  <c r="L9" i="5" s="1"/>
  <c r="T9" i="5"/>
  <c r="K18" i="5"/>
  <c r="L18" i="5" s="1"/>
  <c r="T6" i="5"/>
  <c r="H6" i="5"/>
  <c r="K6" i="5" s="1"/>
  <c r="L6" i="5" s="1"/>
  <c r="H20" i="5"/>
  <c r="T20" i="5"/>
  <c r="S15" i="5"/>
  <c r="D15" i="6"/>
  <c r="H16" i="5"/>
  <c r="K19" i="5"/>
  <c r="L19" i="5" s="1"/>
  <c r="E10" i="6"/>
  <c r="F10" i="6" s="1"/>
  <c r="M10" i="5"/>
  <c r="O10" i="5" s="1"/>
  <c r="H8" i="5"/>
  <c r="K8" i="5" s="1"/>
  <c r="L8" i="5" s="1"/>
  <c r="K11" i="5"/>
  <c r="S11" i="5"/>
  <c r="D11" i="6"/>
  <c r="H17" i="5"/>
  <c r="K17" i="5" s="1"/>
  <c r="L17" i="5" s="1"/>
  <c r="T17" i="5"/>
  <c r="H12" i="5"/>
  <c r="T12" i="5"/>
  <c r="S7" i="5"/>
  <c r="D7" i="6"/>
  <c r="S8" i="5"/>
  <c r="D8" i="6"/>
  <c r="T14" i="5"/>
  <c r="H14" i="5"/>
  <c r="K14" i="5" s="1"/>
  <c r="L14" i="5" s="1"/>
  <c r="S16" i="5"/>
  <c r="D16" i="6"/>
  <c r="H13" i="5"/>
  <c r="K13" i="5" s="1"/>
  <c r="L13" i="5" s="1"/>
  <c r="T13" i="5"/>
  <c r="S19" i="5"/>
  <c r="D19" i="6"/>
  <c r="S9" i="5"/>
  <c r="S17" i="5"/>
  <c r="H7" i="5"/>
  <c r="K7" i="5" s="1"/>
  <c r="L7" i="5" s="1"/>
  <c r="H15" i="5"/>
  <c r="K15" i="5" s="1"/>
  <c r="L15" i="5" s="1"/>
  <c r="S10" i="5"/>
  <c r="S18" i="5"/>
  <c r="C7" i="6"/>
  <c r="C11" i="6"/>
  <c r="C15" i="6"/>
  <c r="C19" i="6"/>
  <c r="I8" i="5"/>
  <c r="I16" i="5"/>
  <c r="T11" i="5"/>
  <c r="R12" i="5"/>
  <c r="T19" i="5"/>
  <c r="R20" i="5"/>
  <c r="S6" i="5"/>
  <c r="I11" i="5"/>
  <c r="A13" i="2" s="1"/>
  <c r="S14" i="5"/>
  <c r="I19" i="5"/>
  <c r="C8" i="6"/>
  <c r="C16" i="6"/>
  <c r="I12" i="5"/>
  <c r="I20" i="5"/>
  <c r="E13" i="6" l="1"/>
  <c r="F13" i="6" s="1"/>
  <c r="M13" i="5"/>
  <c r="O13" i="5" s="1"/>
  <c r="B20" i="2"/>
  <c r="D12" i="6"/>
  <c r="S12" i="5"/>
  <c r="G10" i="6"/>
  <c r="P10" i="5"/>
  <c r="E14" i="6"/>
  <c r="F14" i="6" s="1"/>
  <c r="M14" i="5"/>
  <c r="O14" i="5" s="1"/>
  <c r="B21" i="2"/>
  <c r="E6" i="6"/>
  <c r="F6" i="6" s="1"/>
  <c r="M6" i="5"/>
  <c r="O6" i="5" s="1"/>
  <c r="E8" i="6"/>
  <c r="F8" i="6" s="1"/>
  <c r="M8" i="5"/>
  <c r="O8" i="5" s="1"/>
  <c r="K16" i="5"/>
  <c r="L16" i="5" s="1"/>
  <c r="K12" i="5"/>
  <c r="L12" i="5" s="1"/>
  <c r="K20" i="5"/>
  <c r="L20" i="5" s="1"/>
  <c r="M7" i="5"/>
  <c r="O7" i="5" s="1"/>
  <c r="E7" i="6"/>
  <c r="F7" i="6" s="1"/>
  <c r="E18" i="6"/>
  <c r="F18" i="6" s="1"/>
  <c r="M18" i="5"/>
  <c r="O18" i="5" s="1"/>
  <c r="M17" i="5"/>
  <c r="O17" i="5" s="1"/>
  <c r="E17" i="6"/>
  <c r="F17" i="6" s="1"/>
  <c r="L11" i="5"/>
  <c r="B13" i="2"/>
  <c r="M19" i="5"/>
  <c r="O19" i="5" s="1"/>
  <c r="E19" i="6"/>
  <c r="F19" i="6" s="1"/>
  <c r="B22" i="2"/>
  <c r="M15" i="5"/>
  <c r="O15" i="5" s="1"/>
  <c r="E15" i="6"/>
  <c r="F15" i="6" s="1"/>
  <c r="D20" i="6"/>
  <c r="S20" i="5"/>
  <c r="M9" i="5"/>
  <c r="O9" i="5" s="1"/>
  <c r="E9" i="6"/>
  <c r="F9" i="6" s="1"/>
  <c r="E16" i="6" l="1"/>
  <c r="F16" i="6" s="1"/>
  <c r="M16" i="5"/>
  <c r="O16" i="5" s="1"/>
  <c r="P17" i="5"/>
  <c r="G17" i="6"/>
  <c r="G14" i="6"/>
  <c r="D21" i="2"/>
  <c r="P14" i="5"/>
  <c r="G18" i="6"/>
  <c r="P18" i="5"/>
  <c r="D22" i="2"/>
  <c r="P15" i="5"/>
  <c r="G15" i="6"/>
  <c r="G19" i="6"/>
  <c r="P19" i="5"/>
  <c r="M11" i="5"/>
  <c r="O11" i="5" s="1"/>
  <c r="A9" i="2"/>
  <c r="B18" i="2"/>
  <c r="E11" i="6"/>
  <c r="F11" i="6" s="1"/>
  <c r="G8" i="6"/>
  <c r="P8" i="5"/>
  <c r="G6" i="6"/>
  <c r="Q9" i="5"/>
  <c r="H9" i="6" s="1"/>
  <c r="Q8" i="5"/>
  <c r="H8" i="6" s="1"/>
  <c r="Q7" i="5"/>
  <c r="H7" i="6" s="1"/>
  <c r="Q6" i="5"/>
  <c r="H6" i="6" s="1"/>
  <c r="P6" i="5"/>
  <c r="Q10" i="5"/>
  <c r="H10" i="6" s="1"/>
  <c r="E12" i="6"/>
  <c r="F12" i="6" s="1"/>
  <c r="B19" i="2"/>
  <c r="M12" i="5"/>
  <c r="O12" i="5" s="1"/>
  <c r="P7" i="5"/>
  <c r="G7" i="6"/>
  <c r="D20" i="2"/>
  <c r="G13" i="6"/>
  <c r="P13" i="5"/>
  <c r="P9" i="5"/>
  <c r="G9" i="6"/>
  <c r="E20" i="6"/>
  <c r="F20" i="6" s="1"/>
  <c r="M20" i="5"/>
  <c r="O20" i="5" s="1"/>
  <c r="Q15" i="5" l="1"/>
  <c r="H15" i="6" s="1"/>
  <c r="D18" i="2"/>
  <c r="D13" i="2"/>
  <c r="Q14" i="5"/>
  <c r="H14" i="6" s="1"/>
  <c r="C9" i="2"/>
  <c r="D9" i="2" s="1"/>
  <c r="G11" i="6"/>
  <c r="Q13" i="5"/>
  <c r="H13" i="6" s="1"/>
  <c r="Q12" i="5"/>
  <c r="H12" i="6" s="1"/>
  <c r="Q11" i="5"/>
  <c r="H11" i="6" s="1"/>
  <c r="P11" i="5"/>
  <c r="G20" i="6"/>
  <c r="P20" i="5"/>
  <c r="G16" i="6"/>
  <c r="Q17" i="5"/>
  <c r="H17" i="6" s="1"/>
  <c r="Q16" i="5"/>
  <c r="H16" i="6" s="1"/>
  <c r="P16" i="5"/>
  <c r="Q20" i="5"/>
  <c r="H20" i="6" s="1"/>
  <c r="Q19" i="5"/>
  <c r="H19" i="6" s="1"/>
  <c r="Q18" i="5"/>
  <c r="H18" i="6" s="1"/>
  <c r="G12" i="6"/>
  <c r="D19" i="2"/>
  <c r="P12" i="5"/>
  <c r="E19" i="2" l="1"/>
  <c r="E20" i="2"/>
  <c r="E22" i="2"/>
  <c r="E18" i="2"/>
  <c r="E21" i="2"/>
</calcChain>
</file>

<file path=xl/sharedStrings.xml><?xml version="1.0" encoding="utf-8"?>
<sst xmlns="http://schemas.openxmlformats.org/spreadsheetml/2006/main" count="281" uniqueCount="222">
  <si>
    <t>OSTROVIT CREW  |  Content &amp; Community Growth</t>
  </si>
  <si>
    <t>POMYSŁ BIZNESOWY</t>
  </si>
  <si>
    <t>Problem</t>
  </si>
  <si>
    <t>Jak budować dodatkowy popyt i retencję przez treści oraz relacje między klientami?</t>
  </si>
  <si>
    <t>Rozwiązanie</t>
  </si>
  <si>
    <t>3 prowadzących + YouTube + Instagram + społeczność, w której klienci pomagają klientom.</t>
  </si>
  <si>
    <t>Główna hipoteza</t>
  </si>
  <si>
    <t>Inicjatywa może zwiększać zasięg, polecenia i dodatkowe zakupy, ale jej rentowność wymaga testu.</t>
  </si>
  <si>
    <t>5-letni horyzont</t>
  </si>
  <si>
    <t>2027 uruchomienie → 2028 aktywizacja → 2029 polecenia → 2030 skalowanie → 2031 ocena.</t>
  </si>
  <si>
    <t>Co to za dane?</t>
  </si>
  <si>
    <t>Historia zakupów: sztuczna. Lata 2027–2031: warunkowa symulacja, NIE prognoza OstroVit.</t>
  </si>
  <si>
    <t>Teoria gier</t>
  </si>
  <si>
    <t>Powtarzane interakcje, reputacja i wzajemność mogą zachęcać do wzajemnej pomocy.</t>
  </si>
  <si>
    <t>Ważne ograniczenie</t>
  </si>
  <si>
    <t>Oglądalność ≠ unikalni odbiorcy ≠ rozpoznawalność marki ≠ dodatkowa sprzedaż.</t>
  </si>
  <si>
    <t>OSTROVIT CREW  |  Dashboard 2027–2031</t>
  </si>
  <si>
    <t>Pięcioletnia symulacja • wybierz wariant w B6 • wyniki PLN • nie jest prognozą</t>
  </si>
  <si>
    <t>Wybrany scenariusz</t>
  </si>
  <si>
    <t>Base</t>
  </si>
  <si>
    <t>Przychód dodatkowy</t>
  </si>
  <si>
    <t>Koszt programu</t>
  </si>
  <si>
    <t>Dodatkowy zysk</t>
  </si>
  <si>
    <t>ROI</t>
  </si>
  <si>
    <t>Nowi klienci z poleceń</t>
  </si>
  <si>
    <t>Dodatkowe zamówienia</t>
  </si>
  <si>
    <t>Przychód do break-even*</t>
  </si>
  <si>
    <t>Zysk skumul. 2031</t>
  </si>
  <si>
    <t>ROK PO ROKU  |  wybrany scenariusz</t>
  </si>
  <si>
    <t>Rok</t>
  </si>
  <si>
    <t>Przychód</t>
  </si>
  <si>
    <t>Koszt</t>
  </si>
  <si>
    <t>Zysk</t>
  </si>
  <si>
    <t>Zysk skumulowany</t>
  </si>
  <si>
    <t>POMIAR MARKETINGOWY  |  zasięg to nie świadomość marki</t>
  </si>
  <si>
    <t>YouTube wyświetlenia</t>
  </si>
  <si>
    <t>Instagram zasięg</t>
  </si>
  <si>
    <t>Członkowie społeczności</t>
  </si>
  <si>
    <t>Parametr</t>
  </si>
  <si>
    <t>Wartość</t>
  </si>
  <si>
    <t>Jednostka</t>
  </si>
  <si>
    <t>Co oznacza / źródło</t>
  </si>
  <si>
    <t>Liczba prowadzących</t>
  </si>
  <si>
    <t>osoby</t>
  </si>
  <si>
    <t>Założenie autorskie: trener, ekspert, community lead</t>
  </si>
  <si>
    <t>Pełny koszt jednej osoby / mies.</t>
  </si>
  <si>
    <t>PLN</t>
  </si>
  <si>
    <t>Założenie autorskie; całkowity koszt, nie pensja netto</t>
  </si>
  <si>
    <t>Produkcja filmów / mies.</t>
  </si>
  <si>
    <t>Założenie autorskie: nagranie, montaż, grafika</t>
  </si>
  <si>
    <t>Promocja / mies.</t>
  </si>
  <si>
    <t>Założenie autorskie: płatna dystrybucja treści</t>
  </si>
  <si>
    <t>Narzędzia i moderacja / mies.</t>
  </si>
  <si>
    <t>Założenie autorskie: oprogramowanie i moderacja</t>
  </si>
  <si>
    <t>Średnia wartość zamówienia</t>
  </si>
  <si>
    <t>Założenie modelowe; nie jest prognozą firmy</t>
  </si>
  <si>
    <t>Marża kontrybucyjna</t>
  </si>
  <si>
    <t>%</t>
  </si>
  <si>
    <t>Założenie modelowe po kosztach zmiennych sprzedaży</t>
  </si>
  <si>
    <t>CTR YouTube → sklep</t>
  </si>
  <si>
    <t>Hipotetyczny odsetek wyświetleń prowadzących do wizyty</t>
  </si>
  <si>
    <t>CTR Instagram → sklep</t>
  </si>
  <si>
    <t>Hipotetyczny odsetek zasięgu prowadzący do wizyty</t>
  </si>
  <si>
    <t>Konwersja wizyt → zamówienia</t>
  </si>
  <si>
    <t>Hipotetyczny odsetek wizyt zakończonych zakupem</t>
  </si>
  <si>
    <t>Koszt startowy w 2027</t>
  </si>
  <si>
    <t>Wyposażenie i uruchomienie; jednorazowo</t>
  </si>
  <si>
    <t>Współczynnik kosztów / Low</t>
  </si>
  <si>
    <t>x</t>
  </si>
  <si>
    <t>Model scenariuszowy, założenie</t>
  </si>
  <si>
    <t>Współczynnik kosztów / Base</t>
  </si>
  <si>
    <t>Współczynnik kosztów / High</t>
  </si>
  <si>
    <t>Mnożnik zasięgu / Low</t>
  </si>
  <si>
    <t>Mnożnik zasięgu / Base</t>
  </si>
  <si>
    <t>Mnożnik zasięgu / High</t>
  </si>
  <si>
    <t>Mnożnik community / Low</t>
  </si>
  <si>
    <t>Mnożnik community / Base</t>
  </si>
  <si>
    <t>Mnożnik community / High</t>
  </si>
  <si>
    <t>Mnożnik CTR/CR / Low</t>
  </si>
  <si>
    <t>Założenie dotyczy zarówno CTR, jak i CR</t>
  </si>
  <si>
    <t>Mnożnik CTR/CR / Base</t>
  </si>
  <si>
    <t>Mnożnik CTR/CR / High</t>
  </si>
  <si>
    <t>Dodatkowe zakupy/osobę / Low</t>
  </si>
  <si>
    <t>zam./rok</t>
  </si>
  <si>
    <t>Wyłącznie zakupy przyrostowe, nie wszystkie zakupy</t>
  </si>
  <si>
    <t>Dodatkowe zakupy/osobę / Base</t>
  </si>
  <si>
    <t>Dodatkowe zakupy/osobę / High</t>
  </si>
  <si>
    <t>Nowi klienci z polecenia/osobę / Low</t>
  </si>
  <si>
    <t>kl./rok</t>
  </si>
  <si>
    <t>Zakładamy 1 pierwsze zamówienie na klienta</t>
  </si>
  <si>
    <t>Nowi klienci z polecenia/osobę / Base</t>
  </si>
  <si>
    <t>Nowi klienci z polecenia/osobę / High</t>
  </si>
  <si>
    <t>Założenia nie pochodzą z rachunków firmy ani badań rynku. Zmiana wartości w kolumnie B aktualizuje modele i wykresy po przeliczeniu Excela.</t>
  </si>
  <si>
    <t>PLAN 2027–2031  |  baza roczna</t>
  </si>
  <si>
    <t>Wszystkie wartości w tej tabeli są przykładowymi założeniami, nie statystykami OstroVit</t>
  </si>
  <si>
    <t>YouTube: wyświetlenia</t>
  </si>
  <si>
    <t>Instagram: zasięg*</t>
  </si>
  <si>
    <t>Członkowie community</t>
  </si>
  <si>
    <t>Wydarzenia / rok (PLN)</t>
  </si>
  <si>
    <t>Etap rozwoju</t>
  </si>
  <si>
    <t>KPI decyzyjny</t>
  </si>
  <si>
    <t>Start: 3 prowadzących i kanały</t>
  </si>
  <si>
    <t>Jakość treści + koszt wizyty</t>
  </si>
  <si>
    <t>Wyzwania + spotkania + moderacja</t>
  </si>
  <si>
    <t>Aktywni członkowie</t>
  </si>
  <si>
    <t>Polecenia + test sprzedaży</t>
  </si>
  <si>
    <t>Zakupy przyrostowe</t>
  </si>
  <si>
    <t>Skalowanie formatów i wydarzeń</t>
  </si>
  <si>
    <t>Zysk na członka</t>
  </si>
  <si>
    <t>Ocena zwrotu z inwestycji</t>
  </si>
  <si>
    <t>Skumulowany ROI</t>
  </si>
  <si>
    <t>*Zasięg IG i wyświetlenia YT nie są unikalnymi osobami. Dodatkowe zamówienia z kanałów i poleceń modelujemy jako rozłączne, aby uniknąć podwójnego liczenia.</t>
  </si>
  <si>
    <t>PLAN DZIAŁAŃ W SKRÓCIE</t>
  </si>
  <si>
    <t>2027</t>
  </si>
  <si>
    <t>Opracuj pilotaż, zatrudnij trzy osoby i uruchom regularne publikacje.</t>
  </si>
  <si>
    <t>2028</t>
  </si>
  <si>
    <t>Rozwijaj moderowane community: pomaganie innym, wyzwania, spotkania.</t>
  </si>
  <si>
    <t>2029</t>
  </si>
  <si>
    <t>Wprowadź mierzalne polecenia; oddziel sprzedaż przypisaną od przyrostowej.</t>
  </si>
  <si>
    <t>2030</t>
  </si>
  <si>
    <t>Skaluj wyłącznie formaty, których efekty i koszty zostały zweryfikowane.</t>
  </si>
  <si>
    <t>2031</t>
  </si>
  <si>
    <t>Oceń pięcioletni zwrot oraz decyzję: rozwój, modyfikacja lub ograniczenie.</t>
  </si>
  <si>
    <t>SCENARIUSZE  |  3 warianty × 5 lat</t>
  </si>
  <si>
    <t>Formuły łączą zasięg, CTR, konwersję, klientów z poleceń, zakupy przyrostowe oraz pełne koszty</t>
  </si>
  <si>
    <t>Scenariusz</t>
  </si>
  <si>
    <t>YT wyświetlenia</t>
  </si>
  <si>
    <t>IG zasięg</t>
  </si>
  <si>
    <t>Członkowie</t>
  </si>
  <si>
    <t>Wizyty YT</t>
  </si>
  <si>
    <t>Wizyty IG</t>
  </si>
  <si>
    <t>Zam. z treści</t>
  </si>
  <si>
    <t>Nowi z poleceń</t>
  </si>
  <si>
    <t>Dodatk. zam. community</t>
  </si>
  <si>
    <t>Zamówienia łącznie</t>
  </si>
  <si>
    <t>Przychód dod. (PLN)</t>
  </si>
  <si>
    <t>Kontrybucja (PLN)</t>
  </si>
  <si>
    <t>Koszt programu (PLN)</t>
  </si>
  <si>
    <t>Zysk dod. (PLN)</t>
  </si>
  <si>
    <t>Zysk skumul. (PLN)</t>
  </si>
  <si>
    <t>Próg przychodu (PLN)</t>
  </si>
  <si>
    <t>Wymagane zamówienia</t>
  </si>
  <si>
    <t>Wizyty razem</t>
  </si>
  <si>
    <t>Low</t>
  </si>
  <si>
    <t>High</t>
  </si>
  <si>
    <t>Wzrost rozpoznawalności NIE jest obliczany z wyświetleń: potrzebny byłby niezależny pomiar ankietowy. Model nie stanowi prognozy ani oszacowania wpływu przyczynowego.</t>
  </si>
  <si>
    <t>PRÓG RENTOWNOŚCI  |  roczny i skumulowany</t>
  </si>
  <si>
    <t>Roczny break-even to nie to samo co zwrot całej inwestycji</t>
  </si>
  <si>
    <t>Wariant</t>
  </si>
  <si>
    <t>Koszty (PLN)</t>
  </si>
  <si>
    <t>Przychód modelu (PLN)</t>
  </si>
  <si>
    <t>Nadwyżka / luka (PLN)</t>
  </si>
  <si>
    <t>Zysk roczny (PLN)</t>
  </si>
  <si>
    <t>Zysk skumulowany (PLN)</t>
  </si>
  <si>
    <t>Zwrot całej inwestycji następuje dopiero, gdy zysk skumulowany przekroczy zero. Wartości mogą pozostać ujemne przez całe pięć lat.</t>
  </si>
  <si>
    <t>Obliczenia z orders.csv • zrealizowane zamówienia • nie są to dane rzeczywistej firmy</t>
  </si>
  <si>
    <t>Miesiąc</t>
  </si>
  <si>
    <t>Przychód (PLN)</t>
  </si>
  <si>
    <t>Zamówienia</t>
  </si>
  <si>
    <t>Kupujący unikalni</t>
  </si>
  <si>
    <t>Zam. z polecenia</t>
  </si>
  <si>
    <t>AOV (PLN)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</si>
  <si>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</si>
  <si>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</si>
  <si>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</si>
  <si>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</si>
  <si>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</si>
  <si>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</si>
  <si>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</si>
  <si>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</si>
  <si>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</si>
  <si>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</si>
  <si>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</si>
  <si>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SUMA / cały okres</t>
  </si>
  <si>
    <t>DLACZEGO COMMUNITY?  |  teoria → hipotezy → pomiar</t>
  </si>
  <si>
    <t>Mechanizm</t>
  </si>
  <si>
    <t>Prosto wyjaśnione</t>
  </si>
  <si>
    <t>Co proponujemy</t>
  </si>
  <si>
    <t>Jak sprawdzimy?</t>
  </si>
  <si>
    <t>Gry powtarzane</t>
  </si>
  <si>
    <t>Widzimy się wiele razy, więc warto budować relację.</t>
  </si>
  <si>
    <t>Cykliczne treningi, cotygodniowe Q&amp;A</t>
  </si>
  <si>
    <t>Odsetek powracających uczestników</t>
  </si>
  <si>
    <t>Wzajemność</t>
  </si>
  <si>
    <t>Dziś ja pomogę Tobie, jutro Ty możesz pomóc mnie.</t>
  </si>
  <si>
    <t>Forum pytań i odpowiedzi; pomoc nowym</t>
  </si>
  <si>
    <t>% pytań z pomocną odpowiedzią</t>
  </si>
  <si>
    <t>Reputacja</t>
  </si>
  <si>
    <t>Osoby pomagające innym zdobywają uznanie.</t>
  </si>
  <si>
    <t>Wyróżnienia za jakość, nie za spam</t>
  </si>
  <si>
    <t>Udział pomocnych członków / jakość odpowiedzi</t>
  </si>
  <si>
    <t>Dobro wspólne</t>
  </si>
  <si>
    <t>Każdy korzysta; bez wkładu członków wartość spada.</t>
  </si>
  <si>
    <t>Moderacja + zasady + łatwe zadawanie pytań</t>
  </si>
  <si>
    <t>Aktywność na osobę, odpowiedzi na pytania</t>
  </si>
  <si>
    <t>Potencjalny efekt sieciowy</t>
  </si>
  <si>
    <t>Nowi aktywni członkowie mogą dodawać wartość innym.</t>
  </si>
  <si>
    <t>Wspólne treningi, wyzwania, wydarzenia</t>
  </si>
  <si>
    <t>Retencja członków vs liczba aktywnych</t>
  </si>
  <si>
    <t>Hipoteza biznesowa</t>
  </si>
  <si>
    <t>Treści → społeczność → polecenia → zakupy.</t>
  </si>
  <si>
    <t>YT, Instagram, 3 prowadzących i community</t>
  </si>
  <si>
    <t>DODATKOWE zamówienia oraz dodatkowy zysk</t>
  </si>
  <si>
    <t>CO JEST POMIAREM, A CO NIE?</t>
  </si>
  <si>
    <t>Wyświetlenia / zasięg</t>
  </si>
  <si>
    <t>Miary ekspozycji. Nie są unikalnymi klientami ani świadomością marki.</t>
  </si>
  <si>
    <t>Świadomość marki</t>
  </si>
  <si>
    <t>Ankieta przed/po + grupa porównawcza; zmiana w punktach procentowych.</t>
  </si>
  <si>
    <t>Sprzedaż przypisana</t>
  </si>
  <si>
    <t>Kod lub UTM wskazuje ścieżkę; nie dowodzi dodatkowej sprzedaży.</t>
  </si>
  <si>
    <t>Efekt przyrostowy</t>
  </si>
  <si>
    <t>Porównanie z grupą kontrolną; pilotaż zaproszeń do community.</t>
  </si>
  <si>
    <t>Zdrowie i suplementacja</t>
  </si>
  <si>
    <t>Ekspert z kwalifikacjami; bez obiecywania skutków zdrowotnych.</t>
  </si>
  <si>
    <t>ZAŁOŻENIA</t>
  </si>
  <si>
    <t>Jak obliczyłem niektóre parametry: Przychód = (zamówienia z treści + pierwsi klienci z poleceń + dodatkowe zakupy członków) × koszyk. Wynik = przychód × marża kontrybucyjna − koszty programu.</t>
  </si>
  <si>
    <t>Teoria gier daje uzasadnienie mechanizmów współpracy, Według mnie zgodność parametrów teorii gier może spowodować wzrost przychodów.</t>
  </si>
  <si>
    <t>SPRZEDAŻ HISTORYCZNA  |  dane są moje, nie są w 100% prawdziwe</t>
  </si>
  <si>
    <t>Roczny próg przychodu = koszt programu / marża. Nadwyżka / luka to przychód ponad próg (lub poniżej progu), NIE zysk.</t>
  </si>
  <si>
    <t>Klienci powtarzają zakupy, więc miesięczne liczby kupujących nie zsumują się do unikalnej liczby klientów z całego okresu.
AOV to średnia wartość całego zamówienia — patrzę na pełną kwotę, nie na liczbę produktów.</t>
  </si>
  <si>
    <t xml:space="preserve">Wzrost wizyt z YouTube i Instagrama wskazuje na rosnący wpływ treści na ruch w sklepie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</si>
  <si>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YouTube pozostaje głównym kanałem akwizycji, a Instagram wzmacnia efekt.”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</si>
</sst>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;[Red]\(0.0%\);\–"/>
    <numFmt numFmtId="165" formatCode="#,##0;[Red]\(#,##0\);\–"/>
    <numFmt numFmtId="166" formatCode="#,##0\ &quot;zł&quot;;[Red]\(#,##0\ &quot;zł&quot;\);\–"/>
  </numFmts>
  <fonts count="21">
    <font>
      <sz val="11"/>
      <name val="Carlito"/>
    </font>
    <font>
      <b/>
      <sz val="19"/>
      <color rgb="FF101B2A"/>
      <name val="Carlito"/>
    </font>
    <font>
      <sz val="10"/>
      <color rgb="FF42546D"/>
      <name val="Carlito"/>
    </font>
    <font>
      <b/>
      <sz val="11"/>
      <color rgb="FFFFFFFF"/>
      <name val="Carlito"/>
    </font>
    <font>
      <b/>
      <sz val="11"/>
      <color rgb="FF23364F"/>
      <name val="Carlito"/>
    </font>
    <font>
      <b/>
      <sz val="13"/>
      <color rgb="FF174EA6"/>
      <name val="Carlito"/>
    </font>
    <font>
      <sz val="11"/>
      <name val="Carlito"/>
    </font>
    <font>
      <sz val="12"/>
      <name val="Bahnschrift SemiBold"/>
      <family val="2"/>
      <charset val="238"/>
    </font>
    <font>
      <sz val="12"/>
      <color rgb="FF174EA6"/>
      <name val="Bahnschrift SemiBold"/>
      <family val="2"/>
      <charset val="238"/>
    </font>
    <font>
      <b/>
      <sz val="14"/>
      <name val="Bahnschrift SemiBold"/>
      <family val="2"/>
      <charset val="238"/>
    </font>
    <font>
      <b/>
      <sz val="14"/>
      <color rgb="FFFFFFFF"/>
      <name val="Bahnschrift SemiBold"/>
      <family val="2"/>
      <charset val="238"/>
    </font>
    <font>
      <sz val="14"/>
      <name val="Bahnschrift SemiBold"/>
      <family val="2"/>
      <charset val="238"/>
    </font>
    <font>
      <sz val="12"/>
      <color rgb="FF000000"/>
      <name val="Bahnschrift SemiBold"/>
      <family val="2"/>
      <charset val="238"/>
    </font>
    <font>
      <b/>
      <sz val="12"/>
      <color theme="1"/>
      <name val="Bahnschrift SemiBold SemiConden"/>
      <family val="2"/>
      <charset val="238"/>
    </font>
    <font>
      <sz val="12"/>
      <color rgb="FFFFFFFF"/>
      <name val="Bahnschrift SemiBold"/>
      <family val="2"/>
      <charset val="238"/>
    </font>
    <font>
      <sz val="11"/>
      <name val="Bahnschrift SemiBold SemiConden"/>
      <family val="2"/>
      <charset val="238"/>
    </font>
    <font>
      <b/>
      <sz val="11"/>
      <name val="Book Antiqua"/>
      <family val="1"/>
      <charset val="238"/>
    </font>
    <font>
      <sz val="11"/>
      <color rgb="FF174EA6"/>
      <name val="Bahnschrift SemiBold SemiConden"/>
      <family val="2"/>
      <charset val="238"/>
    </font>
    <font>
      <b/>
      <sz val="11"/>
      <name val="Bahnschrift SemiCondensed"/>
      <family val="2"/>
      <charset val="238"/>
    </font>
    <font>
      <sz val="10"/>
      <color theme="1"/>
      <name val="Arial Rounded MT Bold"/>
      <family val="2"/>
    </font>
    <font>
      <b/>
      <sz val="11"/>
      <name val="Carlito"/>
      <charset val="238"/>
    </font>
  </fonts>
  <fills count="10">
    <fill>
      <patternFill patternType="none"/>
    </fill>
    <fill>
      <patternFill patternType="gray125"/>
    </fill>
    <fill>
      <patternFill patternType="solid">
        <fgColor rgb="FFB0BED0"/>
      </patternFill>
    </fill>
    <fill>
      <patternFill patternType="solid">
        <fgColor rgb="FFEAF0F5"/>
      </patternFill>
    </fill>
    <fill>
      <patternFill patternType="solid">
        <fgColor rgb="FF23364F"/>
      </patternFill>
    </fill>
    <fill>
      <patternFill patternType="solid">
        <fgColor rgb="FFFFF0BF"/>
      </patternFill>
    </fill>
    <fill>
      <patternFill patternType="solid">
        <fgColor rgb="FFF2F2A6"/>
        <bgColor indexed="64"/>
      </patternFill>
    </fill>
    <fill>
      <patternFill patternType="solid">
        <fgColor rgb="FF8DB0B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4" fillId="0" borderId="0" xfId="1" applyNumberFormat="1" applyFont="1" applyFill="1" applyBorder="1"/>
    <xf numFmtId="0" fontId="3" fillId="4" borderId="0" xfId="1" applyNumberFormat="1" applyFont="1" applyFill="1" applyBorder="1" applyAlignment="1">
      <alignment wrapText="1"/>
    </xf>
    <xf numFmtId="0" fontId="5" fillId="5" borderId="0" xfId="1" applyNumberFormat="1" applyFont="1" applyFill="1" applyBorder="1"/>
    <xf numFmtId="0" fontId="7" fillId="0" borderId="1" xfId="0" applyFont="1" applyBorder="1"/>
    <xf numFmtId="0" fontId="8" fillId="5" borderId="1" xfId="1" applyNumberFormat="1" applyFont="1" applyFill="1" applyBorder="1"/>
    <xf numFmtId="164" fontId="8" fillId="5" borderId="1" xfId="1" applyNumberFormat="1" applyFont="1" applyFill="1" applyBorder="1"/>
    <xf numFmtId="2" fontId="8" fillId="5" borderId="1" xfId="1" applyNumberFormat="1" applyFont="1" applyFill="1" applyBorder="1"/>
    <xf numFmtId="0" fontId="10" fillId="4" borderId="0" xfId="1" applyNumberFormat="1" applyFont="1" applyFill="1" applyBorder="1" applyAlignment="1">
      <alignment wrapText="1"/>
    </xf>
    <xf numFmtId="0" fontId="11" fillId="0" borderId="0" xfId="0" applyFont="1"/>
    <xf numFmtId="165" fontId="11" fillId="0" borderId="0" xfId="1" applyNumberFormat="1" applyFont="1" applyFill="1" applyBorder="1"/>
    <xf numFmtId="0" fontId="8" fillId="0" borderId="1" xfId="1" applyNumberFormat="1" applyFont="1" applyFill="1" applyBorder="1"/>
    <xf numFmtId="165" fontId="12" fillId="0" borderId="1" xfId="1" applyNumberFormat="1" applyFont="1" applyFill="1" applyBorder="1"/>
    <xf numFmtId="166" fontId="12" fillId="0" borderId="1" xfId="1" applyNumberFormat="1" applyFont="1" applyFill="1" applyBorder="1"/>
    <xf numFmtId="164" fontId="12" fillId="0" borderId="1" xfId="1" applyNumberFormat="1" applyFont="1" applyFill="1" applyBorder="1"/>
    <xf numFmtId="166" fontId="7" fillId="0" borderId="1" xfId="1" applyNumberFormat="1" applyFont="1" applyFill="1" applyBorder="1"/>
    <xf numFmtId="165" fontId="7" fillId="0" borderId="1" xfId="1" applyNumberFormat="1" applyFont="1" applyFill="1" applyBorder="1"/>
    <xf numFmtId="0" fontId="14" fillId="4" borderId="1" xfId="1" applyNumberFormat="1" applyFont="1" applyFill="1" applyBorder="1" applyAlignment="1">
      <alignment wrapText="1"/>
    </xf>
    <xf numFmtId="0" fontId="7" fillId="3" borderId="1" xfId="1" applyNumberFormat="1" applyFont="1" applyFill="1" applyBorder="1"/>
    <xf numFmtId="166" fontId="7" fillId="3" borderId="1" xfId="1" applyNumberFormat="1" applyFont="1" applyFill="1" applyBorder="1"/>
    <xf numFmtId="165" fontId="7" fillId="3" borderId="1" xfId="1" applyNumberFormat="1" applyFont="1" applyFill="1" applyBorder="1"/>
    <xf numFmtId="0" fontId="16" fillId="6" borderId="1" xfId="1" applyNumberFormat="1" applyFont="1" applyFill="1" applyBorder="1" applyAlignment="1">
      <alignment horizontal="center" wrapText="1"/>
    </xf>
    <xf numFmtId="0" fontId="4" fillId="7" borderId="1" xfId="1" applyNumberFormat="1" applyFont="1" applyFill="1" applyBorder="1"/>
    <xf numFmtId="0" fontId="0" fillId="7" borderId="0" xfId="0" applyFill="1"/>
    <xf numFmtId="0" fontId="15" fillId="0" borderId="1" xfId="0" applyFont="1" applyBorder="1" applyAlignment="1">
      <alignment horizontal="right"/>
    </xf>
    <xf numFmtId="165" fontId="17" fillId="5" borderId="1" xfId="1" applyNumberFormat="1" applyFont="1" applyFill="1" applyBorder="1" applyAlignment="1">
      <alignment horizontal="right"/>
    </xf>
    <xf numFmtId="166" fontId="17" fillId="5" borderId="1" xfId="1" applyNumberFormat="1" applyFont="1" applyFill="1" applyBorder="1" applyAlignment="1">
      <alignment horizontal="right"/>
    </xf>
    <xf numFmtId="0" fontId="18" fillId="0" borderId="1" xfId="0" applyFont="1" applyBorder="1"/>
    <xf numFmtId="166" fontId="18" fillId="0" borderId="1" xfId="1" applyNumberFormat="1" applyFont="1" applyFill="1" applyBorder="1"/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20" fillId="0" borderId="0" xfId="0" applyFont="1" applyBorder="1" applyAlignment="1">
      <alignment vertical="top"/>
    </xf>
    <xf numFmtId="166" fontId="9" fillId="3" borderId="3" xfId="1" applyNumberFormat="1" applyFont="1" applyFill="1" applyBorder="1"/>
    <xf numFmtId="164" fontId="9" fillId="3" borderId="3" xfId="1" applyNumberFormat="1" applyFont="1" applyFill="1" applyBorder="1"/>
    <xf numFmtId="165" fontId="9" fillId="3" borderId="3" xfId="1" applyNumberFormat="1" applyFont="1" applyFill="1" applyBorder="1"/>
    <xf numFmtId="0" fontId="11" fillId="0" borderId="1" xfId="0" applyFont="1" applyBorder="1"/>
    <xf numFmtId="166" fontId="11" fillId="0" borderId="1" xfId="1" applyNumberFormat="1" applyFont="1" applyFill="1" applyBorder="1"/>
    <xf numFmtId="0" fontId="0" fillId="7" borderId="1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/>
    <xf numFmtId="0" fontId="3" fillId="4" borderId="0" xfId="1" applyNumberFormat="1" applyFont="1" applyFill="1" applyBorder="1"/>
    <xf numFmtId="0" fontId="2" fillId="3" borderId="0" xfId="1" applyNumberFormat="1" applyFont="1" applyFill="1" applyBorder="1" applyAlignment="1">
      <alignment wrapText="1"/>
    </xf>
    <xf numFmtId="0" fontId="10" fillId="4" borderId="0" xfId="1" applyNumberFormat="1" applyFont="1" applyFill="1" applyBorder="1"/>
    <xf numFmtId="0" fontId="20" fillId="0" borderId="0" xfId="0" applyFont="1" applyBorder="1" applyAlignment="1">
      <alignment vertical="top"/>
    </xf>
    <xf numFmtId="0" fontId="13" fillId="3" borderId="0" xfId="1" applyNumberFormat="1" applyFont="1" applyFill="1" applyBorder="1" applyAlignment="1">
      <alignment wrapText="1"/>
    </xf>
    <xf numFmtId="0" fontId="20" fillId="0" borderId="2" xfId="0" applyFont="1" applyBorder="1" applyAlignment="1">
      <alignment vertical="top"/>
    </xf>
    <xf numFmtId="0" fontId="19" fillId="3" borderId="0" xfId="1" applyNumberFormat="1" applyFont="1" applyFill="1" applyBorder="1" applyAlignment="1">
      <alignment wrapText="1"/>
    </xf>
    <xf numFmtId="0" fontId="11" fillId="0" borderId="0" xfId="0" applyFont="1" applyBorder="1"/>
    <xf numFmtId="0" fontId="11" fillId="0" borderId="3" xfId="0" applyFont="1" applyBorder="1"/>
    <xf numFmtId="165" fontId="11" fillId="0" borderId="3" xfId="1" applyNumberFormat="1" applyFont="1" applyFill="1" applyBorder="1"/>
  </cellXfs>
  <cellStyles count="2">
    <cellStyle name="Normal" xfId="1"/>
    <cellStyle name="Normalny" xfId="0" builtinId="0"/>
  </cellStyles>
  <dxfs count="5">
    <dxf>
      <font>
        <color rgb="FFB42318"/>
      </font>
    </dxf>
    <dxf>
      <font>
        <color rgb="FFB42318"/>
      </font>
    </dxf>
    <dxf>
      <font>
        <color rgb="FFB42318"/>
      </font>
    </dxf>
    <dxf>
      <font>
        <color rgb="FFB42318"/>
      </font>
    </dxf>
    <dxf>
      <font>
        <color rgb="FFB42318"/>
      </font>
    </dxf>
  </dxfs>
  <tableStyles count="0" defaultTableStyle="TableStyleMedium2" defaultPivotStyle="PivotStyleLight16"/>
  <colors>
    <mruColors>
      <color rgb="FF8DB0BD"/>
      <color rgb="FFF2F2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Dodatkowy przychód</c:v>
          </c:tx>
          <c:invertIfNegative val="1"/>
          <c:cat>
            <c:numRef>
              <c:f>DASHBOARD!$A$18:$A$22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DASHBOARD!$B$18:$B$22</c:f>
              <c:numCache>
                <c:formatCode>#\ ##0\ "zł";[Red]\(#\ ##0\ "zł"\);\–</c:formatCode>
                <c:ptCount val="5"/>
                <c:pt idx="0">
                  <c:v>90000</c:v>
                </c:pt>
                <c:pt idx="1">
                  <c:v>288000</c:v>
                </c:pt>
                <c:pt idx="2">
                  <c:v>652500</c:v>
                </c:pt>
                <c:pt idx="3">
                  <c:v>1192500</c:v>
                </c:pt>
                <c:pt idx="4">
                  <c:v>1957500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F-41AA-B7B2-A0BEF774E804}"/>
            </c:ext>
          </c:extLst>
        </c:ser>
        <c:ser>
          <c:idx val="1"/>
          <c:order val="1"/>
          <c:tx>
            <c:v>Koszt programu</c:v>
          </c:tx>
          <c:invertIfNegative val="1"/>
          <c:cat>
            <c:numRef>
              <c:f>DASHBOARD!$A$18:$A$22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DASHBOARD!$C$18:$C$22</c:f>
              <c:numCache>
                <c:formatCode>#\ ##0\ "zł";[Red]\(#\ ##0\ "zł"\);\–</c:formatCode>
                <c:ptCount val="5"/>
                <c:pt idx="0">
                  <c:v>446000</c:v>
                </c:pt>
                <c:pt idx="1">
                  <c:v>436000</c:v>
                </c:pt>
                <c:pt idx="2">
                  <c:v>466000</c:v>
                </c:pt>
                <c:pt idx="3">
                  <c:v>496000</c:v>
                </c:pt>
                <c:pt idx="4">
                  <c:v>536000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F-41AA-B7B2-A0BEF774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&quot;zł&quot;;[Red]\(#\ ##0\ &quot;zł&quot;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Zysk skumulowany</c:v>
          </c:tx>
          <c:marker>
            <c:symbol val="none"/>
          </c:marker>
          <c:cat>
            <c:numRef>
              <c:f>DASHBOARD!$A$18:$A$22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DASHBOARD!$E$18:$E$22</c:f>
              <c:numCache>
                <c:formatCode>#\ ##0\ "zł";[Red]\(#\ ##0\ "zł"\);\–</c:formatCode>
                <c:ptCount val="5"/>
                <c:pt idx="0">
                  <c:v>-419000</c:v>
                </c:pt>
                <c:pt idx="1">
                  <c:v>-768600</c:v>
                </c:pt>
                <c:pt idx="2">
                  <c:v>-1038850</c:v>
                </c:pt>
                <c:pt idx="3">
                  <c:v>-1177100</c:v>
                </c:pt>
                <c:pt idx="4">
                  <c:v>-1125850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75-4B2A-A1AD-168A96D3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&quot;zł&quot;;[Red]\(#\ ##0\ &quot;zł&quot;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Członkowie community</c:v>
          </c:tx>
          <c:marker>
            <c:symbol val="none"/>
          </c:marker>
          <c:cat>
            <c:numRef>
              <c:f>DASHBOARD!$A$37:$A$41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DASHBOARD!$D$37:$D$41</c:f>
              <c:numCache>
                <c:formatCode>#\ ##0;[Red]\(#\ ##0\);\–</c:formatCode>
                <c:ptCount val="5"/>
                <c:pt idx="0">
                  <c:v>1000</c:v>
                </c:pt>
                <c:pt idx="1">
                  <c:v>4000</c:v>
                </c:pt>
                <c:pt idx="2">
                  <c:v>10000</c:v>
                </c:pt>
                <c:pt idx="3">
                  <c:v>20000</c:v>
                </c:pt>
                <c:pt idx="4">
                  <c:v>35000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2C-4678-AF42-9DEF01959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;[Red]\(#\ ##0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 b="1" i="0" u="none" strike="noStrike" cap="all" baseline="0">
                <a:solidFill>
                  <a:schemeClr val="accent5">
                    <a:lumMod val="60000"/>
                    <a:lumOff val="40000"/>
                  </a:schemeClr>
                </a:solidFill>
                <a:latin typeface="Bahnschrift" panose="020B0502040204020203" pitchFamily="34" charset="0"/>
              </a:rPr>
              <a:t>Wizyty z YouTube i Instagrama (stacked area)</a:t>
            </a:r>
            <a:endParaRPr lang="pl-PL">
              <a:solidFill>
                <a:schemeClr val="accent5">
                  <a:lumMod val="60000"/>
                  <a:lumOff val="40000"/>
                </a:schemeClr>
              </a:solidFill>
              <a:latin typeface="Bahnschrift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SCENARIUSZE!$M$31</c:f>
              <c:strCache>
                <c:ptCount val="1"/>
                <c:pt idx="0">
                  <c:v>Wizyty YT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SCENARIUSZE!$L$32:$L$36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SCENARIUSZE!$M$32:$M$36</c:f>
              <c:numCache>
                <c:formatCode>#,##0</c:formatCode>
                <c:ptCount val="5"/>
                <c:pt idx="0">
                  <c:v>12000</c:v>
                </c:pt>
                <c:pt idx="1">
                  <c:v>36000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E-49B0-AF8F-414C67011A11}"/>
            </c:ext>
          </c:extLst>
        </c:ser>
        <c:ser>
          <c:idx val="1"/>
          <c:order val="1"/>
          <c:tx>
            <c:strRef>
              <c:f>SCENARIUSZE!$N$31</c:f>
              <c:strCache>
                <c:ptCount val="1"/>
                <c:pt idx="0">
                  <c:v>Wizyty IG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SCENARIUSZE!$L$32:$L$36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SCENARIUSZE!$N$32:$N$36</c:f>
              <c:numCache>
                <c:formatCode>#,##0</c:formatCode>
                <c:ptCount val="5"/>
                <c:pt idx="0">
                  <c:v>8000</c:v>
                </c:pt>
                <c:pt idx="1">
                  <c:v>16000</c:v>
                </c:pt>
                <c:pt idx="2">
                  <c:v>30000</c:v>
                </c:pt>
                <c:pt idx="3">
                  <c:v>50000</c:v>
                </c:pt>
                <c:pt idx="4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E-49B0-AF8F-414C67011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774566703"/>
        <c:axId val="1774575855"/>
      </c:barChart>
      <c:catAx>
        <c:axId val="17745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4575855"/>
        <c:crosses val="autoZero"/>
        <c:auto val="1"/>
        <c:lblAlgn val="ctr"/>
        <c:lblOffset val="100"/>
        <c:noMultiLvlLbl val="0"/>
      </c:catAx>
      <c:valAx>
        <c:axId val="1774575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456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Przychód (PLN)</c:v>
          </c:tx>
          <c:marker>
            <c:symbol val="none"/>
          </c:marker>
          <c:cat>
            <c:strRef>
              <c:f>DANE_HISTORYCZNE!$A$6:$A$16</c:f>
              <c:strCache>
                <c:ptCount val="11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</c:strCache>
            </c:strRef>
          </c:cat>
          <c:val>
            <c:numRef>
              <c:f>DANE_HISTORYCZNE!$B$6:$B$16</c:f>
              <c:numCache>
                <c:formatCode>#\ ##0\ "zł";[Red]\(#\ ##0\ "zł"\);\–</c:formatCode>
                <c:ptCount val="11"/>
                <c:pt idx="0">
                  <c:v>7033.78</c:v>
                </c:pt>
                <c:pt idx="1">
                  <c:v>25158.22</c:v>
                </c:pt>
                <c:pt idx="2">
                  <c:v>43752.17</c:v>
                </c:pt>
                <c:pt idx="3">
                  <c:v>66627.98</c:v>
                </c:pt>
                <c:pt idx="4">
                  <c:v>70117.570000000007</c:v>
                </c:pt>
                <c:pt idx="5">
                  <c:v>106681.49</c:v>
                </c:pt>
                <c:pt idx="6">
                  <c:v>115912.21</c:v>
                </c:pt>
                <c:pt idx="7">
                  <c:v>135717.26999999999</c:v>
                </c:pt>
                <c:pt idx="8">
                  <c:v>152384.71</c:v>
                </c:pt>
                <c:pt idx="9">
                  <c:v>162263.54</c:v>
                </c:pt>
                <c:pt idx="10">
                  <c:v>181443.36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88-442A-8A4C-1D0A92873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\ &quot;zł&quot;;[Red]\(#\ ##0\ &quot;zł&quot;\);\–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15</xdr:row>
      <xdr:rowOff>19050</xdr:rowOff>
    </xdr:from>
    <xdr:to>
      <xdr:col>14</xdr:col>
      <xdr:colOff>276225</xdr:colOff>
      <xdr:row>32</xdr:row>
      <xdr:rowOff>19050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43</xdr:row>
      <xdr:rowOff>47624</xdr:rowOff>
    </xdr:from>
    <xdr:to>
      <xdr:col>14</xdr:col>
      <xdr:colOff>1285875</xdr:colOff>
      <xdr:row>65</xdr:row>
      <xdr:rowOff>152399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23</xdr:row>
      <xdr:rowOff>142875</xdr:rowOff>
    </xdr:from>
    <xdr:to>
      <xdr:col>3</xdr:col>
      <xdr:colOff>1314450</xdr:colOff>
      <xdr:row>44</xdr:row>
      <xdr:rowOff>57150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B13" sqref="B13:J13"/>
    </sheetView>
  </sheetViews>
  <sheetFormatPr defaultRowHeight="14.25"/>
  <cols>
    <col min="1" max="1" width="27" customWidth="1"/>
    <col min="2" max="2" width="78" customWidth="1"/>
  </cols>
  <sheetData>
    <row r="1" spans="1:12" ht="24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4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26.1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ht="24.95" customHeight="1">
      <c r="A5" s="42" t="s">
        <v>1</v>
      </c>
      <c r="B5" s="42"/>
      <c r="C5" s="42"/>
      <c r="D5" s="42"/>
      <c r="E5" s="42"/>
      <c r="F5" s="42"/>
      <c r="G5" s="42"/>
      <c r="H5" s="42"/>
    </row>
    <row r="7" spans="1:12" ht="39" customHeight="1">
      <c r="A7" s="22" t="s">
        <v>2</v>
      </c>
      <c r="B7" s="39" t="s">
        <v>3</v>
      </c>
      <c r="C7" s="39"/>
      <c r="D7" s="39"/>
      <c r="E7" s="39"/>
      <c r="F7" s="39"/>
      <c r="G7" s="39"/>
      <c r="H7" s="39"/>
      <c r="I7" s="39"/>
      <c r="J7" s="39"/>
    </row>
    <row r="8" spans="1:12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2" ht="39" customHeight="1">
      <c r="A9" s="22" t="s">
        <v>4</v>
      </c>
      <c r="B9" s="39" t="s">
        <v>5</v>
      </c>
      <c r="C9" s="39"/>
      <c r="D9" s="39"/>
      <c r="E9" s="39"/>
      <c r="F9" s="39"/>
      <c r="G9" s="39"/>
      <c r="H9" s="39"/>
      <c r="I9" s="39"/>
      <c r="J9" s="39"/>
    </row>
    <row r="10" spans="1:12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spans="1:12" ht="39" customHeight="1">
      <c r="A11" s="22" t="s">
        <v>6</v>
      </c>
      <c r="B11" s="39" t="s">
        <v>7</v>
      </c>
      <c r="C11" s="39"/>
      <c r="D11" s="39"/>
      <c r="E11" s="39"/>
      <c r="F11" s="39"/>
      <c r="G11" s="39"/>
      <c r="H11" s="39"/>
      <c r="I11" s="39"/>
      <c r="J11" s="39"/>
    </row>
    <row r="12" spans="1:12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12" ht="39" customHeight="1">
      <c r="A13" s="22" t="s">
        <v>8</v>
      </c>
      <c r="B13" s="39" t="s">
        <v>9</v>
      </c>
      <c r="C13" s="39"/>
      <c r="D13" s="39"/>
      <c r="E13" s="39"/>
      <c r="F13" s="39"/>
      <c r="G13" s="39"/>
      <c r="H13" s="39"/>
      <c r="I13" s="39"/>
      <c r="J13" s="39"/>
    </row>
    <row r="14" spans="1:12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12" ht="39" customHeight="1">
      <c r="A15" s="22" t="s">
        <v>10</v>
      </c>
      <c r="B15" s="39" t="s">
        <v>11</v>
      </c>
      <c r="C15" s="39"/>
      <c r="D15" s="39"/>
      <c r="E15" s="39"/>
      <c r="F15" s="39"/>
      <c r="G15" s="39"/>
      <c r="H15" s="39"/>
      <c r="I15" s="39"/>
      <c r="J15" s="39"/>
    </row>
    <row r="16" spans="1:12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39" customHeight="1">
      <c r="A17" s="22" t="s">
        <v>12</v>
      </c>
      <c r="B17" s="39" t="s">
        <v>13</v>
      </c>
      <c r="C17" s="39"/>
      <c r="D17" s="39"/>
      <c r="E17" s="39"/>
      <c r="F17" s="39"/>
      <c r="G17" s="39"/>
      <c r="H17" s="39"/>
      <c r="I17" s="39"/>
      <c r="J17" s="39"/>
    </row>
    <row r="18" spans="1:10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 ht="39" customHeight="1">
      <c r="A19" s="22" t="s">
        <v>14</v>
      </c>
      <c r="B19" s="39" t="s">
        <v>15</v>
      </c>
      <c r="C19" s="39"/>
      <c r="D19" s="39"/>
      <c r="E19" s="39"/>
      <c r="F19" s="39"/>
      <c r="G19" s="39"/>
      <c r="H19" s="39"/>
      <c r="I19" s="39"/>
      <c r="J19" s="39"/>
    </row>
    <row r="22" spans="1:10" ht="24.95" customHeight="1"/>
    <row r="33" ht="33.950000000000003" customHeight="1"/>
  </sheetData>
  <mergeCells count="10">
    <mergeCell ref="A1:L2"/>
    <mergeCell ref="A3:L3"/>
    <mergeCell ref="A5:H5"/>
    <mergeCell ref="B7:J7"/>
    <mergeCell ref="B9:J9"/>
    <mergeCell ref="B11:J11"/>
    <mergeCell ref="B13:J13"/>
    <mergeCell ref="B15:J15"/>
    <mergeCell ref="B17:J17"/>
    <mergeCell ref="B19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A52" workbookViewId="0">
      <selection activeCell="C41" sqref="C41"/>
    </sheetView>
  </sheetViews>
  <sheetFormatPr defaultRowHeight="14.25"/>
  <cols>
    <col min="1" max="5" width="25" customWidth="1"/>
    <col min="6" max="14" width="12" customWidth="1"/>
  </cols>
  <sheetData>
    <row r="1" spans="1:14" ht="24" customHeight="1">
      <c r="A1" s="40" t="s">
        <v>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ht="24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6.1" customHeight="1">
      <c r="A3" s="41" t="s">
        <v>17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5" spans="1:14" ht="15">
      <c r="A5" s="1" t="s">
        <v>18</v>
      </c>
    </row>
    <row r="6" spans="1:14" ht="16.5">
      <c r="B6" s="3" t="s">
        <v>19</v>
      </c>
    </row>
    <row r="8" spans="1:14" ht="30" customHeight="1">
      <c r="A8" s="8" t="s">
        <v>20</v>
      </c>
      <c r="B8" s="8" t="s">
        <v>21</v>
      </c>
      <c r="C8" s="8" t="s">
        <v>22</v>
      </c>
      <c r="D8" s="8" t="s">
        <v>23</v>
      </c>
      <c r="E8" s="9"/>
    </row>
    <row r="9" spans="1:14" ht="42.95" customHeight="1">
      <c r="A9" s="34">
        <f>SUMIF(SCENARIUSZE!$A$6:$A$20,$B$6,SCENARIUSZE!$L$6:$L$20)</f>
        <v>4180500</v>
      </c>
      <c r="B9" s="34">
        <f>SUMIF(SCENARIUSZE!$A$6:$A$20,$B$6,SCENARIUSZE!$N$6:$N$20)</f>
        <v>2380000</v>
      </c>
      <c r="C9" s="34">
        <f>SUMIF(SCENARIUSZE!$A$6:$A$20,$B$6,SCENARIUSZE!$O$6:$O$20)</f>
        <v>-1125850</v>
      </c>
      <c r="D9" s="35">
        <f>IFERROR(C9/B9,0)</f>
        <v>-0.47304621848739498</v>
      </c>
      <c r="E9" s="9"/>
    </row>
    <row r="10" spans="1:14" ht="18">
      <c r="A10" s="9"/>
      <c r="B10" s="9"/>
      <c r="C10" s="9"/>
      <c r="D10" s="9"/>
      <c r="E10" s="9"/>
    </row>
    <row r="11" spans="1:14" ht="18">
      <c r="A11" s="9"/>
      <c r="B11" s="9"/>
      <c r="C11" s="9"/>
      <c r="D11" s="9"/>
      <c r="E11" s="9"/>
    </row>
    <row r="12" spans="1:14" ht="30" customHeight="1">
      <c r="A12" s="8" t="s">
        <v>24</v>
      </c>
      <c r="B12" s="8" t="s">
        <v>25</v>
      </c>
      <c r="C12" s="8" t="s">
        <v>26</v>
      </c>
      <c r="D12" s="8" t="s">
        <v>27</v>
      </c>
      <c r="E12" s="9"/>
    </row>
    <row r="13" spans="1:14" ht="39" customHeight="1">
      <c r="A13" s="36">
        <f>SUMIF(SCENARIUSZE!$A$6:$A$20,$B$6,SCENARIUSZE!$I$6:$I$20)</f>
        <v>3500</v>
      </c>
      <c r="B13" s="36">
        <f>SUMIF(SCENARIUSZE!$A$6:$A$20,$B$6,SCENARIUSZE!$K$6:$K$20)</f>
        <v>27870</v>
      </c>
      <c r="C13" s="34">
        <f>IFERROR(B9/ZALOZENIA!$B$12,0)</f>
        <v>7933333.333333334</v>
      </c>
      <c r="D13" s="34">
        <f>SUMIF(SCENARIUSZE!$A$6:$A$20,$B$6,SCENARIUSZE!$O$6:$O$20)</f>
        <v>-1125850</v>
      </c>
      <c r="E13" s="9"/>
    </row>
    <row r="14" spans="1:14" ht="18">
      <c r="A14" s="9"/>
      <c r="B14" s="9"/>
      <c r="C14" s="9"/>
      <c r="D14" s="9"/>
      <c r="E14" s="9"/>
    </row>
    <row r="15" spans="1:14" ht="18">
      <c r="A15" s="9"/>
      <c r="B15" s="9"/>
      <c r="C15" s="9"/>
      <c r="D15" s="9"/>
      <c r="E15" s="9"/>
    </row>
    <row r="16" spans="1:14" ht="24.95" customHeight="1">
      <c r="A16" s="44" t="s">
        <v>28</v>
      </c>
      <c r="B16" s="44"/>
      <c r="C16" s="44"/>
      <c r="D16" s="44"/>
      <c r="E16" s="44"/>
    </row>
    <row r="17" spans="1:5" ht="30" customHeight="1">
      <c r="A17" s="8" t="s">
        <v>29</v>
      </c>
      <c r="B17" s="8" t="s">
        <v>30</v>
      </c>
      <c r="C17" s="8" t="s">
        <v>31</v>
      </c>
      <c r="D17" s="8" t="s">
        <v>32</v>
      </c>
      <c r="E17" s="8" t="s">
        <v>33</v>
      </c>
    </row>
    <row r="18" spans="1:5" ht="18">
      <c r="A18" s="37">
        <v>2027</v>
      </c>
      <c r="B18" s="38">
        <f>SUMIFS(SCENARIUSZE!$L$6:$L$20,SCENARIUSZE!$A$6:$A$20,$B$6,SCENARIUSZE!$B$6:$B$20,$A18)</f>
        <v>90000</v>
      </c>
      <c r="C18" s="38">
        <f>SUMIFS(SCENARIUSZE!$N$6:$N$20,SCENARIUSZE!$A$6:$A$20,$B$6,SCENARIUSZE!$B$6:$B$20,$A18)</f>
        <v>446000</v>
      </c>
      <c r="D18" s="38">
        <f>SUMIFS(SCENARIUSZE!$O$6:$O$20,SCENARIUSZE!$A$6:$A$20,$B$6,SCENARIUSZE!$B$6:$B$20,$A18)</f>
        <v>-419000</v>
      </c>
      <c r="E18" s="38">
        <f>SUM($D$18:D18)</f>
        <v>-419000</v>
      </c>
    </row>
    <row r="19" spans="1:5" ht="18">
      <c r="A19" s="37">
        <v>2028</v>
      </c>
      <c r="B19" s="38">
        <f>SUMIFS(SCENARIUSZE!$L$6:$L$20,SCENARIUSZE!$A$6:$A$20,$B$6,SCENARIUSZE!$B$6:$B$20,$A19)</f>
        <v>288000</v>
      </c>
      <c r="C19" s="38">
        <f>SUMIFS(SCENARIUSZE!$N$6:$N$20,SCENARIUSZE!$A$6:$A$20,$B$6,SCENARIUSZE!$B$6:$B$20,$A19)</f>
        <v>436000</v>
      </c>
      <c r="D19" s="38">
        <f>SUMIFS(SCENARIUSZE!$O$6:$O$20,SCENARIUSZE!$A$6:$A$20,$B$6,SCENARIUSZE!$B$6:$B$20,$A19)</f>
        <v>-349600</v>
      </c>
      <c r="E19" s="38">
        <f>SUM($D$18:D19)</f>
        <v>-768600</v>
      </c>
    </row>
    <row r="20" spans="1:5" ht="18">
      <c r="A20" s="37">
        <v>2029</v>
      </c>
      <c r="B20" s="38">
        <f>SUMIFS(SCENARIUSZE!$L$6:$L$20,SCENARIUSZE!$A$6:$A$20,$B$6,SCENARIUSZE!$B$6:$B$20,$A20)</f>
        <v>652500</v>
      </c>
      <c r="C20" s="38">
        <f>SUMIFS(SCENARIUSZE!$N$6:$N$20,SCENARIUSZE!$A$6:$A$20,$B$6,SCENARIUSZE!$B$6:$B$20,$A20)</f>
        <v>466000</v>
      </c>
      <c r="D20" s="38">
        <f>SUMIFS(SCENARIUSZE!$O$6:$O$20,SCENARIUSZE!$A$6:$A$20,$B$6,SCENARIUSZE!$B$6:$B$20,$A20)</f>
        <v>-270250</v>
      </c>
      <c r="E20" s="38">
        <f>SUM($D$18:D20)</f>
        <v>-1038850</v>
      </c>
    </row>
    <row r="21" spans="1:5" ht="18">
      <c r="A21" s="37">
        <v>2030</v>
      </c>
      <c r="B21" s="38">
        <f>SUMIFS(SCENARIUSZE!$L$6:$L$20,SCENARIUSZE!$A$6:$A$20,$B$6,SCENARIUSZE!$B$6:$B$20,$A21)</f>
        <v>1192500</v>
      </c>
      <c r="C21" s="38">
        <f>SUMIFS(SCENARIUSZE!$N$6:$N$20,SCENARIUSZE!$A$6:$A$20,$B$6,SCENARIUSZE!$B$6:$B$20,$A21)</f>
        <v>496000</v>
      </c>
      <c r="D21" s="38">
        <f>SUMIFS(SCENARIUSZE!$O$6:$O$20,SCENARIUSZE!$A$6:$A$20,$B$6,SCENARIUSZE!$B$6:$B$20,$A21)</f>
        <v>-138250</v>
      </c>
      <c r="E21" s="38">
        <f>SUM($D$18:D21)</f>
        <v>-1177100</v>
      </c>
    </row>
    <row r="22" spans="1:5" ht="18">
      <c r="A22" s="37">
        <v>2031</v>
      </c>
      <c r="B22" s="38">
        <f>SUMIFS(SCENARIUSZE!$L$6:$L$20,SCENARIUSZE!$A$6:$A$20,$B$6,SCENARIUSZE!$B$6:$B$20,$A22)</f>
        <v>1957500</v>
      </c>
      <c r="C22" s="38">
        <f>SUMIFS(SCENARIUSZE!$N$6:$N$20,SCENARIUSZE!$A$6:$A$20,$B$6,SCENARIUSZE!$B$6:$B$20,$A22)</f>
        <v>536000</v>
      </c>
      <c r="D22" s="38">
        <f>SUMIFS(SCENARIUSZE!$O$6:$O$20,SCENARIUSZE!$A$6:$A$20,$B$6,SCENARIUSZE!$B$6:$B$20,$A22)</f>
        <v>51250</v>
      </c>
      <c r="E22" s="38">
        <f>SUM($D$18:D22)</f>
        <v>-1125850</v>
      </c>
    </row>
    <row r="23" spans="1:5" ht="18">
      <c r="A23" s="9"/>
      <c r="B23" s="9"/>
      <c r="C23" s="9"/>
      <c r="D23" s="9"/>
      <c r="E23" s="9"/>
    </row>
    <row r="24" spans="1:5" ht="18">
      <c r="A24" s="9"/>
      <c r="B24" s="9"/>
      <c r="C24" s="9"/>
      <c r="D24" s="9"/>
      <c r="E24" s="9"/>
    </row>
    <row r="25" spans="1:5" ht="18">
      <c r="A25" s="9"/>
      <c r="B25" s="9"/>
      <c r="C25" s="9"/>
      <c r="D25" s="9"/>
      <c r="E25" s="9"/>
    </row>
    <row r="26" spans="1:5" ht="18">
      <c r="A26" s="9"/>
      <c r="B26" s="9"/>
      <c r="C26" s="9"/>
      <c r="D26" s="9"/>
      <c r="E26" s="9"/>
    </row>
    <row r="27" spans="1:5" ht="18">
      <c r="A27" s="9"/>
      <c r="B27" s="9"/>
      <c r="C27" s="9"/>
      <c r="D27" s="9"/>
      <c r="E27" s="9"/>
    </row>
    <row r="28" spans="1:5" ht="18">
      <c r="A28" s="9"/>
      <c r="B28" s="9"/>
      <c r="C28" s="9"/>
      <c r="D28" s="9"/>
      <c r="E28" s="9"/>
    </row>
    <row r="29" spans="1:5" ht="18">
      <c r="A29" s="9"/>
      <c r="B29" s="9"/>
      <c r="C29" s="9"/>
      <c r="D29" s="9"/>
      <c r="E29" s="9"/>
    </row>
    <row r="30" spans="1:5" ht="18">
      <c r="A30" s="9"/>
      <c r="B30" s="9"/>
      <c r="C30" s="9"/>
      <c r="D30" s="9"/>
      <c r="E30" s="9"/>
    </row>
    <row r="31" spans="1:5" ht="18">
      <c r="A31" s="9"/>
      <c r="B31" s="9"/>
      <c r="C31" s="9"/>
      <c r="D31" s="9"/>
      <c r="E31" s="9"/>
    </row>
    <row r="32" spans="1:5" ht="18">
      <c r="A32" s="9"/>
      <c r="B32" s="9"/>
      <c r="C32" s="9"/>
      <c r="D32" s="9"/>
      <c r="E32" s="9"/>
    </row>
    <row r="33" spans="1:14" ht="18">
      <c r="A33" s="9"/>
      <c r="B33" s="9"/>
      <c r="C33" s="9"/>
      <c r="D33" s="9"/>
      <c r="E33" s="9"/>
    </row>
    <row r="34" spans="1:14" ht="18">
      <c r="A34" s="9"/>
      <c r="B34" s="9"/>
      <c r="C34" s="9"/>
      <c r="D34" s="9"/>
      <c r="E34" s="9"/>
    </row>
    <row r="35" spans="1:14" ht="24.95" customHeight="1">
      <c r="A35" s="44" t="s">
        <v>34</v>
      </c>
      <c r="B35" s="44"/>
      <c r="C35" s="44"/>
      <c r="D35" s="44"/>
      <c r="E35" s="44"/>
    </row>
    <row r="36" spans="1:14" ht="30" customHeight="1">
      <c r="A36" s="8" t="s">
        <v>29</v>
      </c>
      <c r="B36" s="8" t="s">
        <v>35</v>
      </c>
      <c r="C36" s="8" t="s">
        <v>36</v>
      </c>
      <c r="D36" s="8" t="s">
        <v>37</v>
      </c>
      <c r="E36" s="9"/>
    </row>
    <row r="37" spans="1:14" ht="18">
      <c r="A37" s="49">
        <v>2027</v>
      </c>
      <c r="B37" s="10">
        <f>SUMIFS(SCENARIUSZE!$C$6:$C$20,SCENARIUSZE!$A$6:$A$20,$B$6,SCENARIUSZE!$B$6:$B$20,$A37)</f>
        <v>600000</v>
      </c>
      <c r="C37" s="10">
        <f>SUMIFS(SCENARIUSZE!$D$6:$D$20,SCENARIUSZE!$A$6:$A$20,$B$6,SCENARIUSZE!$B$6:$B$20,$A37)</f>
        <v>300000</v>
      </c>
      <c r="D37" s="10">
        <f>SUMIFS(SCENARIUSZE!$E$6:$E$20,SCENARIUSZE!$A$6:$A$20,$B$6,SCENARIUSZE!$B$6:$B$20,$A37)</f>
        <v>1000</v>
      </c>
      <c r="E37" s="9"/>
    </row>
    <row r="38" spans="1:14" ht="18">
      <c r="A38" s="49">
        <v>2028</v>
      </c>
      <c r="B38" s="10">
        <f>SUMIFS(SCENARIUSZE!$C$6:$C$20,SCENARIUSZE!$A$6:$A$20,$B$6,SCENARIUSZE!$B$6:$B$20,$A38)</f>
        <v>1800000</v>
      </c>
      <c r="C38" s="10">
        <f>SUMIFS(SCENARIUSZE!$D$6:$D$20,SCENARIUSZE!$A$6:$A$20,$B$6,SCENARIUSZE!$B$6:$B$20,$A38)</f>
        <v>800000</v>
      </c>
      <c r="D38" s="10">
        <f>SUMIFS(SCENARIUSZE!$E$6:$E$20,SCENARIUSZE!$A$6:$A$20,$B$6,SCENARIUSZE!$B$6:$B$20,$A38)</f>
        <v>4000</v>
      </c>
      <c r="E38" s="9"/>
    </row>
    <row r="39" spans="1:14" ht="18">
      <c r="A39" s="49">
        <v>2029</v>
      </c>
      <c r="B39" s="10">
        <f>SUMIFS(SCENARIUSZE!$C$6:$C$20,SCENARIUSZE!$A$6:$A$20,$B$6,SCENARIUSZE!$B$6:$B$20,$A39)</f>
        <v>4000000</v>
      </c>
      <c r="C39" s="10">
        <f>SUMIFS(SCENARIUSZE!$D$6:$D$20,SCENARIUSZE!$A$6:$A$20,$B$6,SCENARIUSZE!$B$6:$B$20,$A39)</f>
        <v>1500000</v>
      </c>
      <c r="D39" s="10">
        <f>SUMIFS(SCENARIUSZE!$E$6:$E$20,SCENARIUSZE!$A$6:$A$20,$B$6,SCENARIUSZE!$B$6:$B$20,$A39)</f>
        <v>10000</v>
      </c>
      <c r="E39" s="9"/>
    </row>
    <row r="40" spans="1:14" ht="18">
      <c r="A40" s="49">
        <v>2030</v>
      </c>
      <c r="B40" s="10">
        <f>SUMIFS(SCENARIUSZE!$C$6:$C$20,SCENARIUSZE!$A$6:$A$20,$B$6,SCENARIUSZE!$B$6:$B$20,$A40)</f>
        <v>7000000</v>
      </c>
      <c r="C40" s="10">
        <f>SUMIFS(SCENARIUSZE!$D$6:$D$20,SCENARIUSZE!$A$6:$A$20,$B$6,SCENARIUSZE!$B$6:$B$20,$A40)</f>
        <v>2500000</v>
      </c>
      <c r="D40" s="10">
        <f>SUMIFS(SCENARIUSZE!$E$6:$E$20,SCENARIUSZE!$A$6:$A$20,$B$6,SCENARIUSZE!$B$6:$B$20,$A40)</f>
        <v>20000</v>
      </c>
      <c r="E40" s="9"/>
    </row>
    <row r="41" spans="1:14" ht="18">
      <c r="A41" s="50">
        <v>2031</v>
      </c>
      <c r="B41" s="51">
        <f>SUMIFS(SCENARIUSZE!$C$6:$C$20,SCENARIUSZE!$A$6:$A$20,$B$6,SCENARIUSZE!$B$6:$B$20,$A41)</f>
        <v>11000000</v>
      </c>
      <c r="C41" s="51">
        <f>SUMIFS(SCENARIUSZE!$D$6:$D$20,SCENARIUSZE!$A$6:$A$20,$B$6,SCENARIUSZE!$B$6:$B$20,$A41)</f>
        <v>4000000</v>
      </c>
      <c r="D41" s="51">
        <f>SUMIFS(SCENARIUSZE!$E$6:$E$20,SCENARIUSZE!$A$6:$A$20,$B$6,SCENARIUSZE!$B$6:$B$20,$A41)</f>
        <v>35000</v>
      </c>
      <c r="E41" s="9"/>
    </row>
    <row r="45" spans="1:14" ht="33.950000000000003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</row>
    <row r="51" spans="1:5" ht="33.950000000000003" customHeight="1">
      <c r="A51" s="43"/>
      <c r="B51" s="43"/>
      <c r="C51" s="43"/>
      <c r="D51" s="43"/>
      <c r="E51" s="43"/>
    </row>
  </sheetData>
  <mergeCells count="6">
    <mergeCell ref="A51:E51"/>
    <mergeCell ref="A1:N2"/>
    <mergeCell ref="A3:N3"/>
    <mergeCell ref="A16:E16"/>
    <mergeCell ref="A35:E35"/>
    <mergeCell ref="A45:N45"/>
  </mergeCells>
  <conditionalFormatting sqref="C9">
    <cfRule type="cellIs" dxfId="4" priority="1" operator="lessThan">
      <formula>0</formula>
    </cfRule>
  </conditionalFormatting>
  <conditionalFormatting sqref="D18:E22">
    <cfRule type="cellIs" dxfId="3" priority="2" operator="lessThan">
      <formula>0</formula>
    </cfRule>
  </conditionalFormatting>
  <dataValidations count="1">
    <dataValidation type="list" sqref="B6">
      <formula1>"Low,Base,High"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opLeftCell="A7" workbookViewId="0">
      <selection activeCell="A7" sqref="A7"/>
    </sheetView>
  </sheetViews>
  <sheetFormatPr defaultRowHeight="14.25"/>
  <cols>
    <col min="1" max="1" width="44" customWidth="1"/>
    <col min="2" max="2" width="17" customWidth="1"/>
    <col min="3" max="3" width="15" customWidth="1"/>
    <col min="4" max="4" width="72" customWidth="1"/>
  </cols>
  <sheetData>
    <row r="1" spans="1:12" ht="24" customHeight="1">
      <c r="A1" s="40" t="s">
        <v>214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4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26.1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ht="30" customHeight="1">
      <c r="A5" s="2" t="s">
        <v>38</v>
      </c>
      <c r="B5" s="2" t="s">
        <v>39</v>
      </c>
      <c r="C5" s="2" t="s">
        <v>40</v>
      </c>
      <c r="D5" s="2" t="s">
        <v>41</v>
      </c>
    </row>
    <row r="6" spans="1:12" ht="23.1" customHeight="1">
      <c r="A6" s="4" t="s">
        <v>42</v>
      </c>
      <c r="B6" s="5">
        <v>3</v>
      </c>
      <c r="C6" s="4" t="s">
        <v>43</v>
      </c>
      <c r="D6" s="4" t="s">
        <v>44</v>
      </c>
    </row>
    <row r="7" spans="1:12" ht="23.1" customHeight="1">
      <c r="A7" s="4" t="s">
        <v>45</v>
      </c>
      <c r="B7" s="5">
        <v>8000</v>
      </c>
      <c r="C7" s="4" t="s">
        <v>46</v>
      </c>
      <c r="D7" s="4" t="s">
        <v>47</v>
      </c>
    </row>
    <row r="8" spans="1:12" ht="23.1" customHeight="1">
      <c r="A8" s="4" t="s">
        <v>48</v>
      </c>
      <c r="B8" s="5">
        <v>5000</v>
      </c>
      <c r="C8" s="4" t="s">
        <v>46</v>
      </c>
      <c r="D8" s="4" t="s">
        <v>49</v>
      </c>
    </row>
    <row r="9" spans="1:12" ht="23.1" customHeight="1">
      <c r="A9" s="4" t="s">
        <v>50</v>
      </c>
      <c r="B9" s="5">
        <v>3000</v>
      </c>
      <c r="C9" s="4" t="s">
        <v>46</v>
      </c>
      <c r="D9" s="4" t="s">
        <v>51</v>
      </c>
    </row>
    <row r="10" spans="1:12" ht="23.1" customHeight="1">
      <c r="A10" s="4" t="s">
        <v>52</v>
      </c>
      <c r="B10" s="5">
        <v>1000</v>
      </c>
      <c r="C10" s="4" t="s">
        <v>46</v>
      </c>
      <c r="D10" s="4" t="s">
        <v>53</v>
      </c>
    </row>
    <row r="11" spans="1:12" ht="23.1" customHeight="1">
      <c r="A11" s="4" t="s">
        <v>54</v>
      </c>
      <c r="B11" s="5">
        <v>150</v>
      </c>
      <c r="C11" s="4" t="s">
        <v>46</v>
      </c>
      <c r="D11" s="4" t="s">
        <v>55</v>
      </c>
    </row>
    <row r="12" spans="1:12" ht="23.1" customHeight="1">
      <c r="A12" s="4" t="s">
        <v>56</v>
      </c>
      <c r="B12" s="6">
        <v>0.3</v>
      </c>
      <c r="C12" s="4" t="s">
        <v>57</v>
      </c>
      <c r="D12" s="4" t="s">
        <v>58</v>
      </c>
    </row>
    <row r="13" spans="1:12" ht="23.1" customHeight="1">
      <c r="A13" s="4" t="s">
        <v>59</v>
      </c>
      <c r="B13" s="6">
        <v>0.02</v>
      </c>
      <c r="C13" s="4" t="s">
        <v>57</v>
      </c>
      <c r="D13" s="4" t="s">
        <v>60</v>
      </c>
    </row>
    <row r="14" spans="1:12" ht="23.1" customHeight="1">
      <c r="A14" s="4" t="s">
        <v>61</v>
      </c>
      <c r="B14" s="6">
        <v>0.01</v>
      </c>
      <c r="C14" s="4" t="s">
        <v>57</v>
      </c>
      <c r="D14" s="4" t="s">
        <v>62</v>
      </c>
    </row>
    <row r="15" spans="1:12" ht="23.1" customHeight="1">
      <c r="A15" s="4" t="s">
        <v>63</v>
      </c>
      <c r="B15" s="6">
        <v>0.03</v>
      </c>
      <c r="C15" s="4" t="s">
        <v>57</v>
      </c>
      <c r="D15" s="4" t="s">
        <v>64</v>
      </c>
    </row>
    <row r="16" spans="1:12" ht="23.1" customHeight="1">
      <c r="A16" s="4" t="s">
        <v>65</v>
      </c>
      <c r="B16" s="5">
        <v>40000</v>
      </c>
      <c r="C16" s="4" t="s">
        <v>46</v>
      </c>
      <c r="D16" s="4" t="s">
        <v>66</v>
      </c>
    </row>
    <row r="17" spans="1:4" ht="23.1" customHeight="1">
      <c r="A17" s="4" t="s">
        <v>67</v>
      </c>
      <c r="B17" s="7">
        <v>0.9</v>
      </c>
      <c r="C17" s="4" t="s">
        <v>68</v>
      </c>
      <c r="D17" s="4" t="s">
        <v>69</v>
      </c>
    </row>
    <row r="18" spans="1:4" ht="23.1" customHeight="1">
      <c r="A18" s="4" t="s">
        <v>70</v>
      </c>
      <c r="B18" s="7">
        <v>1</v>
      </c>
      <c r="C18" s="4" t="s">
        <v>68</v>
      </c>
      <c r="D18" s="4" t="s">
        <v>69</v>
      </c>
    </row>
    <row r="19" spans="1:4" ht="23.1" customHeight="1">
      <c r="A19" s="4" t="s">
        <v>71</v>
      </c>
      <c r="B19" s="7">
        <v>1.18</v>
      </c>
      <c r="C19" s="4" t="s">
        <v>68</v>
      </c>
      <c r="D19" s="4" t="s">
        <v>69</v>
      </c>
    </row>
    <row r="20" spans="1:4" ht="23.1" customHeight="1">
      <c r="A20" s="4" t="s">
        <v>72</v>
      </c>
      <c r="B20" s="7">
        <v>0.6</v>
      </c>
      <c r="C20" s="4" t="s">
        <v>68</v>
      </c>
      <c r="D20" s="4" t="s">
        <v>69</v>
      </c>
    </row>
    <row r="21" spans="1:4" ht="23.1" customHeight="1">
      <c r="A21" s="4" t="s">
        <v>73</v>
      </c>
      <c r="B21" s="7">
        <v>1</v>
      </c>
      <c r="C21" s="4" t="s">
        <v>68</v>
      </c>
      <c r="D21" s="4" t="s">
        <v>69</v>
      </c>
    </row>
    <row r="22" spans="1:4" ht="23.1" customHeight="1">
      <c r="A22" s="4" t="s">
        <v>74</v>
      </c>
      <c r="B22" s="7">
        <v>1.6</v>
      </c>
      <c r="C22" s="4" t="s">
        <v>68</v>
      </c>
      <c r="D22" s="4" t="s">
        <v>69</v>
      </c>
    </row>
    <row r="23" spans="1:4" ht="23.1" customHeight="1">
      <c r="A23" s="4" t="s">
        <v>75</v>
      </c>
      <c r="B23" s="7">
        <v>0.6</v>
      </c>
      <c r="C23" s="4" t="s">
        <v>68</v>
      </c>
      <c r="D23" s="4" t="s">
        <v>69</v>
      </c>
    </row>
    <row r="24" spans="1:4" ht="23.1" customHeight="1">
      <c r="A24" s="4" t="s">
        <v>76</v>
      </c>
      <c r="B24" s="7">
        <v>1</v>
      </c>
      <c r="C24" s="4" t="s">
        <v>68</v>
      </c>
      <c r="D24" s="4" t="s">
        <v>69</v>
      </c>
    </row>
    <row r="25" spans="1:4" ht="23.1" customHeight="1">
      <c r="A25" s="4" t="s">
        <v>77</v>
      </c>
      <c r="B25" s="7">
        <v>1.5</v>
      </c>
      <c r="C25" s="4" t="s">
        <v>68</v>
      </c>
      <c r="D25" s="4" t="s">
        <v>69</v>
      </c>
    </row>
    <row r="26" spans="1:4" ht="23.1" customHeight="1">
      <c r="A26" s="4" t="s">
        <v>78</v>
      </c>
      <c r="B26" s="7">
        <v>0.75</v>
      </c>
      <c r="C26" s="4" t="s">
        <v>68</v>
      </c>
      <c r="D26" s="4" t="s">
        <v>79</v>
      </c>
    </row>
    <row r="27" spans="1:4" ht="23.1" customHeight="1">
      <c r="A27" s="4" t="s">
        <v>80</v>
      </c>
      <c r="B27" s="5">
        <v>1</v>
      </c>
      <c r="C27" s="4" t="s">
        <v>68</v>
      </c>
      <c r="D27" s="4" t="s">
        <v>79</v>
      </c>
    </row>
    <row r="28" spans="1:4" ht="23.1" customHeight="1">
      <c r="A28" s="4" t="s">
        <v>81</v>
      </c>
      <c r="B28" s="5">
        <v>1.2</v>
      </c>
      <c r="C28" s="4" t="s">
        <v>68</v>
      </c>
      <c r="D28" s="4" t="s">
        <v>79</v>
      </c>
    </row>
    <row r="29" spans="1:4" ht="23.1" customHeight="1">
      <c r="A29" s="4" t="s">
        <v>82</v>
      </c>
      <c r="B29" s="7">
        <v>0.05</v>
      </c>
      <c r="C29" s="4" t="s">
        <v>83</v>
      </c>
      <c r="D29" s="4" t="s">
        <v>84</v>
      </c>
    </row>
    <row r="30" spans="1:4" ht="23.1" customHeight="1">
      <c r="A30" s="4" t="s">
        <v>85</v>
      </c>
      <c r="B30" s="7">
        <v>0.1</v>
      </c>
      <c r="C30" s="4" t="s">
        <v>83</v>
      </c>
      <c r="D30" s="4" t="s">
        <v>84</v>
      </c>
    </row>
    <row r="31" spans="1:4" ht="23.1" customHeight="1">
      <c r="A31" s="4" t="s">
        <v>86</v>
      </c>
      <c r="B31" s="7">
        <v>0.14000000000000001</v>
      </c>
      <c r="C31" s="4" t="s">
        <v>83</v>
      </c>
      <c r="D31" s="4" t="s">
        <v>84</v>
      </c>
    </row>
    <row r="32" spans="1:4" ht="23.1" customHeight="1">
      <c r="A32" s="4" t="s">
        <v>87</v>
      </c>
      <c r="B32" s="7">
        <v>0.02</v>
      </c>
      <c r="C32" s="4" t="s">
        <v>88</v>
      </c>
      <c r="D32" s="4" t="s">
        <v>89</v>
      </c>
    </row>
    <row r="33" spans="1:4" ht="23.1" customHeight="1">
      <c r="A33" s="4" t="s">
        <v>90</v>
      </c>
      <c r="B33" s="7">
        <v>0.05</v>
      </c>
      <c r="C33" s="4" t="s">
        <v>88</v>
      </c>
      <c r="D33" s="4" t="s">
        <v>89</v>
      </c>
    </row>
    <row r="34" spans="1:4" ht="23.1" customHeight="1">
      <c r="A34" s="4" t="s">
        <v>91</v>
      </c>
      <c r="B34" s="7">
        <v>0.08</v>
      </c>
      <c r="C34" s="4" t="s">
        <v>88</v>
      </c>
      <c r="D34" s="4" t="s">
        <v>89</v>
      </c>
    </row>
    <row r="35" spans="1:4" ht="15">
      <c r="A35" s="4"/>
      <c r="B35" s="4"/>
      <c r="C35" s="4"/>
      <c r="D35" s="4"/>
    </row>
    <row r="37" spans="1:4" ht="33.950000000000003" customHeight="1">
      <c r="A37" s="43" t="s">
        <v>92</v>
      </c>
      <c r="B37" s="43"/>
      <c r="C37" s="43"/>
      <c r="D37" s="43"/>
    </row>
  </sheetData>
  <mergeCells count="3">
    <mergeCell ref="A1:L2"/>
    <mergeCell ref="A3:L3"/>
    <mergeCell ref="A37:D37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B14" sqref="B14"/>
    </sheetView>
  </sheetViews>
  <sheetFormatPr defaultRowHeight="14.25"/>
  <cols>
    <col min="1" max="1" width="13" customWidth="1"/>
    <col min="2" max="2" width="88" customWidth="1"/>
    <col min="3" max="4" width="24" customWidth="1"/>
    <col min="5" max="5" width="27" customWidth="1"/>
    <col min="6" max="6" width="42" customWidth="1"/>
    <col min="7" max="7" width="29" customWidth="1"/>
  </cols>
  <sheetData>
    <row r="1" spans="1:12" ht="24" customHeight="1">
      <c r="A1" s="40" t="s">
        <v>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4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26.1" customHeight="1">
      <c r="A3" s="41" t="s">
        <v>94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ht="30" customHeight="1">
      <c r="A5" s="2" t="s">
        <v>29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</row>
    <row r="6" spans="1:12">
      <c r="A6" s="24">
        <v>2027</v>
      </c>
      <c r="B6" s="25">
        <v>600000</v>
      </c>
      <c r="C6" s="25">
        <v>300000</v>
      </c>
      <c r="D6" s="25">
        <v>1000</v>
      </c>
      <c r="E6" s="26">
        <v>10000</v>
      </c>
      <c r="F6" s="24" t="s">
        <v>101</v>
      </c>
      <c r="G6" s="24" t="s">
        <v>102</v>
      </c>
    </row>
    <row r="7" spans="1:12">
      <c r="A7" s="24">
        <v>2028</v>
      </c>
      <c r="B7" s="25">
        <v>1800000</v>
      </c>
      <c r="C7" s="25">
        <v>800000</v>
      </c>
      <c r="D7" s="25">
        <v>4000</v>
      </c>
      <c r="E7" s="26">
        <v>40000</v>
      </c>
      <c r="F7" s="24" t="s">
        <v>103</v>
      </c>
      <c r="G7" s="24" t="s">
        <v>104</v>
      </c>
    </row>
    <row r="8" spans="1:12">
      <c r="A8" s="24">
        <v>2029</v>
      </c>
      <c r="B8" s="25">
        <v>4000000</v>
      </c>
      <c r="C8" s="25">
        <v>1500000</v>
      </c>
      <c r="D8" s="25">
        <v>10000</v>
      </c>
      <c r="E8" s="26">
        <v>70000</v>
      </c>
      <c r="F8" s="24" t="s">
        <v>105</v>
      </c>
      <c r="G8" s="24" t="s">
        <v>106</v>
      </c>
    </row>
    <row r="9" spans="1:12">
      <c r="A9" s="24">
        <v>2030</v>
      </c>
      <c r="B9" s="25">
        <v>7000000</v>
      </c>
      <c r="C9" s="25">
        <v>2500000</v>
      </c>
      <c r="D9" s="25">
        <v>20000</v>
      </c>
      <c r="E9" s="26">
        <v>100000</v>
      </c>
      <c r="F9" s="24" t="s">
        <v>107</v>
      </c>
      <c r="G9" s="24" t="s">
        <v>108</v>
      </c>
    </row>
    <row r="10" spans="1:12">
      <c r="A10" s="24">
        <v>2031</v>
      </c>
      <c r="B10" s="25">
        <v>11000000</v>
      </c>
      <c r="C10" s="25">
        <v>4000000</v>
      </c>
      <c r="D10" s="25">
        <v>35000</v>
      </c>
      <c r="E10" s="26">
        <v>140000</v>
      </c>
      <c r="F10" s="24" t="s">
        <v>109</v>
      </c>
      <c r="G10" s="24" t="s">
        <v>110</v>
      </c>
    </row>
    <row r="13" spans="1:12" ht="33.950000000000003" customHeight="1">
      <c r="A13" s="43" t="s">
        <v>111</v>
      </c>
      <c r="B13" s="43"/>
      <c r="C13" s="43"/>
      <c r="D13" s="43"/>
      <c r="E13" s="43"/>
      <c r="F13" s="43"/>
      <c r="G13" s="43"/>
    </row>
    <row r="16" spans="1:12" ht="24.95" customHeight="1">
      <c r="A16" s="42" t="s">
        <v>112</v>
      </c>
      <c r="B16" s="42"/>
      <c r="C16" s="42"/>
      <c r="D16" s="42"/>
      <c r="E16" s="42"/>
      <c r="F16" s="42"/>
      <c r="G16" s="42"/>
    </row>
    <row r="18" spans="1:2">
      <c r="A18" t="s">
        <v>113</v>
      </c>
      <c r="B18" t="s">
        <v>114</v>
      </c>
    </row>
    <row r="19" spans="1:2">
      <c r="A19" t="s">
        <v>115</v>
      </c>
      <c r="B19" t="s">
        <v>116</v>
      </c>
    </row>
    <row r="20" spans="1:2">
      <c r="A20" t="s">
        <v>117</v>
      </c>
      <c r="B20" t="s">
        <v>118</v>
      </c>
    </row>
    <row r="21" spans="1:2">
      <c r="A21" t="s">
        <v>119</v>
      </c>
      <c r="B21" t="s">
        <v>120</v>
      </c>
    </row>
    <row r="22" spans="1:2">
      <c r="A22" t="s">
        <v>121</v>
      </c>
      <c r="B22" t="s">
        <v>122</v>
      </c>
    </row>
  </sheetData>
  <mergeCells count="4">
    <mergeCell ref="A1:L2"/>
    <mergeCell ref="A3:L3"/>
    <mergeCell ref="A13:G13"/>
    <mergeCell ref="A16:G16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opLeftCell="K28" workbookViewId="0">
      <selection activeCell="R39" sqref="R39"/>
    </sheetView>
  </sheetViews>
  <sheetFormatPr defaultRowHeight="14.25"/>
  <cols>
    <col min="1" max="1" width="17" customWidth="1"/>
    <col min="2" max="2" width="11" customWidth="1"/>
    <col min="3" max="20" width="18" customWidth="1"/>
  </cols>
  <sheetData>
    <row r="1" spans="1:20" ht="24" customHeight="1">
      <c r="A1" s="40" t="s">
        <v>123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20" ht="24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20" ht="26.1" customHeight="1">
      <c r="A3" s="41" t="s">
        <v>124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20" ht="30" customHeight="1">
      <c r="A5" s="2" t="s">
        <v>125</v>
      </c>
      <c r="B5" s="2" t="s">
        <v>29</v>
      </c>
      <c r="C5" s="2" t="s">
        <v>126</v>
      </c>
      <c r="D5" s="2" t="s">
        <v>127</v>
      </c>
      <c r="E5" s="2" t="s">
        <v>128</v>
      </c>
      <c r="F5" s="2" t="s">
        <v>129</v>
      </c>
      <c r="G5" s="2" t="s">
        <v>130</v>
      </c>
      <c r="H5" s="2" t="s">
        <v>131</v>
      </c>
      <c r="I5" s="2" t="s">
        <v>132</v>
      </c>
      <c r="J5" s="2" t="s">
        <v>133</v>
      </c>
      <c r="K5" s="2" t="s">
        <v>134</v>
      </c>
      <c r="L5" s="2" t="s">
        <v>135</v>
      </c>
      <c r="M5" s="2" t="s">
        <v>136</v>
      </c>
      <c r="N5" s="2" t="s">
        <v>137</v>
      </c>
      <c r="O5" s="2" t="s">
        <v>138</v>
      </c>
      <c r="P5" s="2" t="s">
        <v>23</v>
      </c>
      <c r="Q5" s="2" t="s">
        <v>139</v>
      </c>
      <c r="R5" s="2" t="s">
        <v>140</v>
      </c>
      <c r="S5" s="2" t="s">
        <v>141</v>
      </c>
      <c r="T5" s="2" t="s">
        <v>142</v>
      </c>
    </row>
    <row r="6" spans="1:20" ht="15">
      <c r="A6" s="11" t="s">
        <v>143</v>
      </c>
      <c r="B6" s="11">
        <v>2027</v>
      </c>
      <c r="C6" s="12">
        <f>PLAN_5_LAT!B6*ZALOZENIA!$B$20</f>
        <v>360000</v>
      </c>
      <c r="D6" s="12">
        <f>PLAN_5_LAT!C6*ZALOZENIA!$B$20</f>
        <v>180000</v>
      </c>
      <c r="E6" s="12">
        <f>PLAN_5_LAT!D6*ZALOZENIA!$B$23</f>
        <v>600</v>
      </c>
      <c r="F6" s="12">
        <f>C6*ZALOZENIA!$B$13*ZALOZENIA!$B$26</f>
        <v>5400</v>
      </c>
      <c r="G6" s="12">
        <f>D6*ZALOZENIA!$B$14*ZALOZENIA!$B$26</f>
        <v>1350</v>
      </c>
      <c r="H6" s="12">
        <f>(F6+G6)*ZALOZENIA!$B$15*ZALOZENIA!$B$26</f>
        <v>151.875</v>
      </c>
      <c r="I6" s="12">
        <f>E6*ZALOZENIA!$B$32</f>
        <v>12</v>
      </c>
      <c r="J6" s="12">
        <f>E6*ZALOZENIA!$B$29</f>
        <v>30</v>
      </c>
      <c r="K6" s="12">
        <f t="shared" ref="K6:K20" si="0">SUM(H6:J6)</f>
        <v>193.875</v>
      </c>
      <c r="L6" s="13">
        <f>K6*ZALOZENIA!$B$11</f>
        <v>29081.25</v>
      </c>
      <c r="M6" s="13">
        <f>L6*ZALOZENIA!$B$12</f>
        <v>8724.375</v>
      </c>
      <c r="N6" s="13">
        <f>((ZALOZENIA!$B$6*ZALOZENIA!$B$7+ZALOZENIA!$B$8+ZALOZENIA!$B$9+ZALOZENIA!$B$10)*12+PLAN_5_LAT!E6+IF(B6=2027,ZALOZENIA!$B$16,0))*ZALOZENIA!$B$17</f>
        <v>401400</v>
      </c>
      <c r="O6" s="13">
        <f t="shared" ref="O6:O20" si="1">M6-N6</f>
        <v>-392675.625</v>
      </c>
      <c r="P6" s="14">
        <f t="shared" ref="P6:P20" si="2">IFERROR(O6/N6,0)</f>
        <v>-0.97826513452914798</v>
      </c>
      <c r="Q6" s="13">
        <f>SUM($O$6:O6)</f>
        <v>-392675.625</v>
      </c>
      <c r="R6" s="13">
        <f>IFERROR(N6/ZALOZENIA!$B$12,0)</f>
        <v>1338000</v>
      </c>
      <c r="S6" s="12">
        <f>IFERROR(R6/ZALOZENIA!$B$11,0)</f>
        <v>8920</v>
      </c>
      <c r="T6" s="12">
        <f t="shared" ref="T6:T20" si="3">SUM(F6:G6)</f>
        <v>6750</v>
      </c>
    </row>
    <row r="7" spans="1:20" ht="15">
      <c r="A7" s="11" t="s">
        <v>143</v>
      </c>
      <c r="B7" s="11">
        <v>2028</v>
      </c>
      <c r="C7" s="12">
        <f>PLAN_5_LAT!B7*ZALOZENIA!$B$20</f>
        <v>1080000</v>
      </c>
      <c r="D7" s="12">
        <f>PLAN_5_LAT!C7*ZALOZENIA!$B$20</f>
        <v>480000</v>
      </c>
      <c r="E7" s="12">
        <f>PLAN_5_LAT!D7*ZALOZENIA!$B$23</f>
        <v>2400</v>
      </c>
      <c r="F7" s="12">
        <f>C7*ZALOZENIA!$B$13*ZALOZENIA!$B$26</f>
        <v>16200</v>
      </c>
      <c r="G7" s="12">
        <f>D7*ZALOZENIA!$B$14*ZALOZENIA!$B$26</f>
        <v>3600</v>
      </c>
      <c r="H7" s="12">
        <f>(F7+G7)*ZALOZENIA!$B$15*ZALOZENIA!$B$26</f>
        <v>445.5</v>
      </c>
      <c r="I7" s="12">
        <f>E7*ZALOZENIA!$B$32</f>
        <v>48</v>
      </c>
      <c r="J7" s="12">
        <f>E7*ZALOZENIA!$B$29</f>
        <v>120</v>
      </c>
      <c r="K7" s="12">
        <f t="shared" si="0"/>
        <v>613.5</v>
      </c>
      <c r="L7" s="13">
        <f>K7*ZALOZENIA!$B$11</f>
        <v>92025</v>
      </c>
      <c r="M7" s="13">
        <f>L7*ZALOZENIA!$B$12</f>
        <v>27607.5</v>
      </c>
      <c r="N7" s="13">
        <f>((ZALOZENIA!$B$6*ZALOZENIA!$B$7+ZALOZENIA!$B$8+ZALOZENIA!$B$9+ZALOZENIA!$B$10)*12+PLAN_5_LAT!E7+IF(B7=2027,ZALOZENIA!$B$16,0))*ZALOZENIA!$B$17</f>
        <v>392400</v>
      </c>
      <c r="O7" s="13">
        <f t="shared" si="1"/>
        <v>-364792.5</v>
      </c>
      <c r="P7" s="14">
        <f t="shared" si="2"/>
        <v>-0.929644495412844</v>
      </c>
      <c r="Q7" s="13">
        <f>SUM($O$6:O7)</f>
        <v>-757468.125</v>
      </c>
      <c r="R7" s="13">
        <f>IFERROR(N7/ZALOZENIA!$B$12,0)</f>
        <v>1308000</v>
      </c>
      <c r="S7" s="12">
        <f>IFERROR(R7/ZALOZENIA!$B$11,0)</f>
        <v>8720</v>
      </c>
      <c r="T7" s="12">
        <f t="shared" si="3"/>
        <v>19800</v>
      </c>
    </row>
    <row r="8" spans="1:20" ht="15">
      <c r="A8" s="11" t="s">
        <v>143</v>
      </c>
      <c r="B8" s="11">
        <v>2029</v>
      </c>
      <c r="C8" s="12">
        <f>PLAN_5_LAT!B8*ZALOZENIA!$B$20</f>
        <v>2400000</v>
      </c>
      <c r="D8" s="12">
        <f>PLAN_5_LAT!C8*ZALOZENIA!$B$20</f>
        <v>900000</v>
      </c>
      <c r="E8" s="12">
        <f>PLAN_5_LAT!D8*ZALOZENIA!$B$23</f>
        <v>6000</v>
      </c>
      <c r="F8" s="12">
        <f>C8*ZALOZENIA!$B$13*ZALOZENIA!$B$26</f>
        <v>36000</v>
      </c>
      <c r="G8" s="12">
        <f>D8*ZALOZENIA!$B$14*ZALOZENIA!$B$26</f>
        <v>6750</v>
      </c>
      <c r="H8" s="12">
        <f>(F8+G8)*ZALOZENIA!$B$15*ZALOZENIA!$B$26</f>
        <v>961.875</v>
      </c>
      <c r="I8" s="12">
        <f>E8*ZALOZENIA!$B$32</f>
        <v>120</v>
      </c>
      <c r="J8" s="12">
        <f>E8*ZALOZENIA!$B$29</f>
        <v>300</v>
      </c>
      <c r="K8" s="12">
        <f t="shared" si="0"/>
        <v>1381.875</v>
      </c>
      <c r="L8" s="13">
        <f>K8*ZALOZENIA!$B$11</f>
        <v>207281.25</v>
      </c>
      <c r="M8" s="13">
        <f>L8*ZALOZENIA!$B$12</f>
        <v>62184.375</v>
      </c>
      <c r="N8" s="13">
        <f>((ZALOZENIA!$B$6*ZALOZENIA!$B$7+ZALOZENIA!$B$8+ZALOZENIA!$B$9+ZALOZENIA!$B$10)*12+PLAN_5_LAT!E8+IF(B8=2027,ZALOZENIA!$B$16,0))*ZALOZENIA!$B$17</f>
        <v>419400</v>
      </c>
      <c r="O8" s="13">
        <f t="shared" si="1"/>
        <v>-357215.625</v>
      </c>
      <c r="P8" s="14">
        <f t="shared" si="2"/>
        <v>-0.85173015021459231</v>
      </c>
      <c r="Q8" s="13">
        <f>SUM($O$6:O8)</f>
        <v>-1114683.75</v>
      </c>
      <c r="R8" s="13">
        <f>IFERROR(N8/ZALOZENIA!$B$12,0)</f>
        <v>1398000</v>
      </c>
      <c r="S8" s="12">
        <f>IFERROR(R8/ZALOZENIA!$B$11,0)</f>
        <v>9320</v>
      </c>
      <c r="T8" s="12">
        <f t="shared" si="3"/>
        <v>42750</v>
      </c>
    </row>
    <row r="9" spans="1:20" ht="15">
      <c r="A9" s="11" t="s">
        <v>143</v>
      </c>
      <c r="B9" s="11">
        <v>2030</v>
      </c>
      <c r="C9" s="12">
        <f>PLAN_5_LAT!B9*ZALOZENIA!$B$20</f>
        <v>4200000</v>
      </c>
      <c r="D9" s="12">
        <f>PLAN_5_LAT!C9*ZALOZENIA!$B$20</f>
        <v>1500000</v>
      </c>
      <c r="E9" s="12">
        <f>PLAN_5_LAT!D9*ZALOZENIA!$B$23</f>
        <v>12000</v>
      </c>
      <c r="F9" s="12">
        <f>C9*ZALOZENIA!$B$13*ZALOZENIA!$B$26</f>
        <v>63000</v>
      </c>
      <c r="G9" s="12">
        <f>D9*ZALOZENIA!$B$14*ZALOZENIA!$B$26</f>
        <v>11250</v>
      </c>
      <c r="H9" s="12">
        <f>(F9+G9)*ZALOZENIA!$B$15*ZALOZENIA!$B$26</f>
        <v>1670.625</v>
      </c>
      <c r="I9" s="12">
        <f>E9*ZALOZENIA!$B$32</f>
        <v>240</v>
      </c>
      <c r="J9" s="12">
        <f>E9*ZALOZENIA!$B$29</f>
        <v>600</v>
      </c>
      <c r="K9" s="12">
        <f t="shared" si="0"/>
        <v>2510.625</v>
      </c>
      <c r="L9" s="13">
        <f>K9*ZALOZENIA!$B$11</f>
        <v>376593.75</v>
      </c>
      <c r="M9" s="13">
        <f>L9*ZALOZENIA!$B$12</f>
        <v>112978.125</v>
      </c>
      <c r="N9" s="13">
        <f>((ZALOZENIA!$B$6*ZALOZENIA!$B$7+ZALOZENIA!$B$8+ZALOZENIA!$B$9+ZALOZENIA!$B$10)*12+PLAN_5_LAT!E9+IF(B9=2027,ZALOZENIA!$B$16,0))*ZALOZENIA!$B$17</f>
        <v>446400</v>
      </c>
      <c r="O9" s="13">
        <f t="shared" si="1"/>
        <v>-333421.875</v>
      </c>
      <c r="P9" s="14">
        <f t="shared" si="2"/>
        <v>-0.74691280241935487</v>
      </c>
      <c r="Q9" s="13">
        <f>SUM($O$6:O9)</f>
        <v>-1448105.625</v>
      </c>
      <c r="R9" s="13">
        <f>IFERROR(N9/ZALOZENIA!$B$12,0)</f>
        <v>1488000</v>
      </c>
      <c r="S9" s="12">
        <f>IFERROR(R9/ZALOZENIA!$B$11,0)</f>
        <v>9920</v>
      </c>
      <c r="T9" s="12">
        <f t="shared" si="3"/>
        <v>74250</v>
      </c>
    </row>
    <row r="10" spans="1:20" ht="15">
      <c r="A10" s="11" t="s">
        <v>143</v>
      </c>
      <c r="B10" s="11">
        <v>2031</v>
      </c>
      <c r="C10" s="12">
        <f>PLAN_5_LAT!B10*ZALOZENIA!$B$20</f>
        <v>6600000</v>
      </c>
      <c r="D10" s="12">
        <f>PLAN_5_LAT!C10*ZALOZENIA!$B$20</f>
        <v>2400000</v>
      </c>
      <c r="E10" s="12">
        <f>PLAN_5_LAT!D10*ZALOZENIA!$B$23</f>
        <v>21000</v>
      </c>
      <c r="F10" s="12">
        <f>C10*ZALOZENIA!$B$13*ZALOZENIA!$B$26</f>
        <v>99000</v>
      </c>
      <c r="G10" s="12">
        <f>D10*ZALOZENIA!$B$14*ZALOZENIA!$B$26</f>
        <v>18000</v>
      </c>
      <c r="H10" s="12">
        <f>(F10+G10)*ZALOZENIA!$B$15*ZALOZENIA!$B$26</f>
        <v>2632.5</v>
      </c>
      <c r="I10" s="12">
        <f>E10*ZALOZENIA!$B$32</f>
        <v>420</v>
      </c>
      <c r="J10" s="12">
        <f>E10*ZALOZENIA!$B$29</f>
        <v>1050</v>
      </c>
      <c r="K10" s="12">
        <f t="shared" si="0"/>
        <v>4102.5</v>
      </c>
      <c r="L10" s="13">
        <f>K10*ZALOZENIA!$B$11</f>
        <v>615375</v>
      </c>
      <c r="M10" s="13">
        <f>L10*ZALOZENIA!$B$12</f>
        <v>184612.5</v>
      </c>
      <c r="N10" s="13">
        <f>((ZALOZENIA!$B$6*ZALOZENIA!$B$7+ZALOZENIA!$B$8+ZALOZENIA!$B$9+ZALOZENIA!$B$10)*12+PLAN_5_LAT!E10+IF(B10=2027,ZALOZENIA!$B$16,0))*ZALOZENIA!$B$17</f>
        <v>482400</v>
      </c>
      <c r="O10" s="13">
        <f t="shared" si="1"/>
        <v>-297787.5</v>
      </c>
      <c r="P10" s="14">
        <f t="shared" si="2"/>
        <v>-0.61730410447761197</v>
      </c>
      <c r="Q10" s="13">
        <f>SUM($O$6:O10)</f>
        <v>-1745893.125</v>
      </c>
      <c r="R10" s="13">
        <f>IFERROR(N10/ZALOZENIA!$B$12,0)</f>
        <v>1608000</v>
      </c>
      <c r="S10" s="12">
        <f>IFERROR(R10/ZALOZENIA!$B$11,0)</f>
        <v>10720</v>
      </c>
      <c r="T10" s="12">
        <f t="shared" si="3"/>
        <v>117000</v>
      </c>
    </row>
    <row r="11" spans="1:20" ht="15">
      <c r="A11" s="11" t="s">
        <v>19</v>
      </c>
      <c r="B11" s="11">
        <v>2027</v>
      </c>
      <c r="C11" s="12">
        <f>PLAN_5_LAT!B6*ZALOZENIA!$B$21</f>
        <v>600000</v>
      </c>
      <c r="D11" s="12">
        <f>PLAN_5_LAT!C6*ZALOZENIA!$B$21</f>
        <v>300000</v>
      </c>
      <c r="E11" s="12">
        <f>PLAN_5_LAT!D6*ZALOZENIA!$B$24</f>
        <v>1000</v>
      </c>
      <c r="F11" s="12">
        <f>C11*ZALOZENIA!$B$13*ZALOZENIA!$B$27</f>
        <v>12000</v>
      </c>
      <c r="G11" s="12">
        <f>D11*ZALOZENIA!$B$14*ZALOZENIA!$B$27</f>
        <v>3000</v>
      </c>
      <c r="H11" s="12">
        <f>(F11+G11)*ZALOZENIA!$B$15*ZALOZENIA!$B$27</f>
        <v>450</v>
      </c>
      <c r="I11" s="12">
        <f>E11*ZALOZENIA!$B$33</f>
        <v>50</v>
      </c>
      <c r="J11" s="12">
        <f>E11*ZALOZENIA!$B$30</f>
        <v>100</v>
      </c>
      <c r="K11" s="12">
        <f t="shared" si="0"/>
        <v>600</v>
      </c>
      <c r="L11" s="13">
        <f>K11*ZALOZENIA!$B$11</f>
        <v>90000</v>
      </c>
      <c r="M11" s="13">
        <f>L11*ZALOZENIA!$B$12</f>
        <v>27000</v>
      </c>
      <c r="N11" s="13">
        <f>((ZALOZENIA!$B$6*ZALOZENIA!$B$7+ZALOZENIA!$B$8+ZALOZENIA!$B$9+ZALOZENIA!$B$10)*12+PLAN_5_LAT!E6+IF(B11=2027,ZALOZENIA!$B$16,0))*ZALOZENIA!$B$18</f>
        <v>446000</v>
      </c>
      <c r="O11" s="13">
        <f t="shared" si="1"/>
        <v>-419000</v>
      </c>
      <c r="P11" s="14">
        <f t="shared" si="2"/>
        <v>-0.9394618834080718</v>
      </c>
      <c r="Q11" s="13">
        <f>SUM($O$11:O11)</f>
        <v>-419000</v>
      </c>
      <c r="R11" s="13">
        <f>IFERROR(N11/ZALOZENIA!$B$12,0)</f>
        <v>1486666.6666666667</v>
      </c>
      <c r="S11" s="12">
        <f>IFERROR(R11/ZALOZENIA!$B$11,0)</f>
        <v>9911.1111111111113</v>
      </c>
      <c r="T11" s="12">
        <f t="shared" si="3"/>
        <v>15000</v>
      </c>
    </row>
    <row r="12" spans="1:20" ht="15">
      <c r="A12" s="11" t="s">
        <v>19</v>
      </c>
      <c r="B12" s="11">
        <v>2028</v>
      </c>
      <c r="C12" s="12">
        <f>PLAN_5_LAT!B7*ZALOZENIA!$B$21</f>
        <v>1800000</v>
      </c>
      <c r="D12" s="12">
        <f>PLAN_5_LAT!C7*ZALOZENIA!$B$21</f>
        <v>800000</v>
      </c>
      <c r="E12" s="12">
        <f>PLAN_5_LAT!D7*ZALOZENIA!$B$24</f>
        <v>4000</v>
      </c>
      <c r="F12" s="12">
        <f>C12*ZALOZENIA!$B$13*ZALOZENIA!$B$27</f>
        <v>36000</v>
      </c>
      <c r="G12" s="12">
        <f>D12*ZALOZENIA!$B$14*ZALOZENIA!$B$27</f>
        <v>8000</v>
      </c>
      <c r="H12" s="12">
        <f>(F12+G12)*ZALOZENIA!$B$15*ZALOZENIA!$B$27</f>
        <v>1320</v>
      </c>
      <c r="I12" s="12">
        <f>E12*ZALOZENIA!$B$33</f>
        <v>200</v>
      </c>
      <c r="J12" s="12">
        <f>E12*ZALOZENIA!$B$30</f>
        <v>400</v>
      </c>
      <c r="K12" s="12">
        <f t="shared" si="0"/>
        <v>1920</v>
      </c>
      <c r="L12" s="13">
        <f>K12*ZALOZENIA!$B$11</f>
        <v>288000</v>
      </c>
      <c r="M12" s="13">
        <f>L12*ZALOZENIA!$B$12</f>
        <v>86400</v>
      </c>
      <c r="N12" s="13">
        <f>((ZALOZENIA!$B$6*ZALOZENIA!$B$7+ZALOZENIA!$B$8+ZALOZENIA!$B$9+ZALOZENIA!$B$10)*12+PLAN_5_LAT!E7+IF(B12=2027,ZALOZENIA!$B$16,0))*ZALOZENIA!$B$18</f>
        <v>436000</v>
      </c>
      <c r="O12" s="13">
        <f t="shared" si="1"/>
        <v>-349600</v>
      </c>
      <c r="P12" s="14">
        <f t="shared" si="2"/>
        <v>-0.80183486238532109</v>
      </c>
      <c r="Q12" s="13">
        <f>SUM($O$11:O12)</f>
        <v>-768600</v>
      </c>
      <c r="R12" s="13">
        <f>IFERROR(N12/ZALOZENIA!$B$12,0)</f>
        <v>1453333.3333333335</v>
      </c>
      <c r="S12" s="12">
        <f>IFERROR(R12/ZALOZENIA!$B$11,0)</f>
        <v>9688.8888888888905</v>
      </c>
      <c r="T12" s="12">
        <f t="shared" si="3"/>
        <v>44000</v>
      </c>
    </row>
    <row r="13" spans="1:20" ht="15">
      <c r="A13" s="11" t="s">
        <v>19</v>
      </c>
      <c r="B13" s="11">
        <v>2029</v>
      </c>
      <c r="C13" s="12">
        <f>PLAN_5_LAT!B8*ZALOZENIA!$B$21</f>
        <v>4000000</v>
      </c>
      <c r="D13" s="12">
        <f>PLAN_5_LAT!C8*ZALOZENIA!$B$21</f>
        <v>1500000</v>
      </c>
      <c r="E13" s="12">
        <f>PLAN_5_LAT!D8*ZALOZENIA!$B$24</f>
        <v>10000</v>
      </c>
      <c r="F13" s="12">
        <f>C13*ZALOZENIA!$B$13*ZALOZENIA!$B$27</f>
        <v>80000</v>
      </c>
      <c r="G13" s="12">
        <f>D13*ZALOZENIA!$B$14*ZALOZENIA!$B$27</f>
        <v>15000</v>
      </c>
      <c r="H13" s="12">
        <f>(F13+G13)*ZALOZENIA!$B$15*ZALOZENIA!$B$27</f>
        <v>2850</v>
      </c>
      <c r="I13" s="12">
        <f>E13*ZALOZENIA!$B$33</f>
        <v>500</v>
      </c>
      <c r="J13" s="12">
        <f>E13*ZALOZENIA!$B$30</f>
        <v>1000</v>
      </c>
      <c r="K13" s="12">
        <f t="shared" si="0"/>
        <v>4350</v>
      </c>
      <c r="L13" s="13">
        <f>K13*ZALOZENIA!$B$11</f>
        <v>652500</v>
      </c>
      <c r="M13" s="13">
        <f>L13*ZALOZENIA!$B$12</f>
        <v>195750</v>
      </c>
      <c r="N13" s="13">
        <f>((ZALOZENIA!$B$6*ZALOZENIA!$B$7+ZALOZENIA!$B$8+ZALOZENIA!$B$9+ZALOZENIA!$B$10)*12+PLAN_5_LAT!E8+IF(B13=2027,ZALOZENIA!$B$16,0))*ZALOZENIA!$B$18</f>
        <v>466000</v>
      </c>
      <c r="O13" s="13">
        <f t="shared" si="1"/>
        <v>-270250</v>
      </c>
      <c r="P13" s="14">
        <f t="shared" si="2"/>
        <v>-0.57993562231759654</v>
      </c>
      <c r="Q13" s="13">
        <f>SUM($O$11:O13)</f>
        <v>-1038850</v>
      </c>
      <c r="R13" s="13">
        <f>IFERROR(N13/ZALOZENIA!$B$12,0)</f>
        <v>1553333.3333333335</v>
      </c>
      <c r="S13" s="12">
        <f>IFERROR(R13/ZALOZENIA!$B$11,0)</f>
        <v>10355.555555555557</v>
      </c>
      <c r="T13" s="12">
        <f t="shared" si="3"/>
        <v>95000</v>
      </c>
    </row>
    <row r="14" spans="1:20" ht="15">
      <c r="A14" s="11" t="s">
        <v>19</v>
      </c>
      <c r="B14" s="11">
        <v>2030</v>
      </c>
      <c r="C14" s="12">
        <f>PLAN_5_LAT!B9*ZALOZENIA!$B$21</f>
        <v>7000000</v>
      </c>
      <c r="D14" s="12">
        <f>PLAN_5_LAT!C9*ZALOZENIA!$B$21</f>
        <v>2500000</v>
      </c>
      <c r="E14" s="12">
        <f>PLAN_5_LAT!D9*ZALOZENIA!$B$24</f>
        <v>20000</v>
      </c>
      <c r="F14" s="12">
        <f>C14*ZALOZENIA!$B$13*ZALOZENIA!$B$27</f>
        <v>140000</v>
      </c>
      <c r="G14" s="12">
        <f>D14*ZALOZENIA!$B$14*ZALOZENIA!$B$27</f>
        <v>25000</v>
      </c>
      <c r="H14" s="12">
        <f>(F14+G14)*ZALOZENIA!$B$15*ZALOZENIA!$B$27</f>
        <v>4950</v>
      </c>
      <c r="I14" s="12">
        <f>E14*ZALOZENIA!$B$33</f>
        <v>1000</v>
      </c>
      <c r="J14" s="12">
        <f>E14*ZALOZENIA!$B$30</f>
        <v>2000</v>
      </c>
      <c r="K14" s="12">
        <f t="shared" si="0"/>
        <v>7950</v>
      </c>
      <c r="L14" s="13">
        <f>K14*ZALOZENIA!$B$11</f>
        <v>1192500</v>
      </c>
      <c r="M14" s="13">
        <f>L14*ZALOZENIA!$B$12</f>
        <v>357750</v>
      </c>
      <c r="N14" s="13">
        <f>((ZALOZENIA!$B$6*ZALOZENIA!$B$7+ZALOZENIA!$B$8+ZALOZENIA!$B$9+ZALOZENIA!$B$10)*12+PLAN_5_LAT!E9+IF(B14=2027,ZALOZENIA!$B$16,0))*ZALOZENIA!$B$18</f>
        <v>496000</v>
      </c>
      <c r="O14" s="13">
        <f t="shared" si="1"/>
        <v>-138250</v>
      </c>
      <c r="P14" s="14">
        <f t="shared" si="2"/>
        <v>-0.27872983870967744</v>
      </c>
      <c r="Q14" s="13">
        <f>SUM($O$11:O14)</f>
        <v>-1177100</v>
      </c>
      <c r="R14" s="13">
        <f>IFERROR(N14/ZALOZENIA!$B$12,0)</f>
        <v>1653333.3333333335</v>
      </c>
      <c r="S14" s="12">
        <f>IFERROR(R14/ZALOZENIA!$B$11,0)</f>
        <v>11022.222222222223</v>
      </c>
      <c r="T14" s="12">
        <f t="shared" si="3"/>
        <v>165000</v>
      </c>
    </row>
    <row r="15" spans="1:20" ht="15">
      <c r="A15" s="11" t="s">
        <v>19</v>
      </c>
      <c r="B15" s="11">
        <v>2031</v>
      </c>
      <c r="C15" s="12">
        <f>PLAN_5_LAT!B10*ZALOZENIA!$B$21</f>
        <v>11000000</v>
      </c>
      <c r="D15" s="12">
        <f>PLAN_5_LAT!C10*ZALOZENIA!$B$21</f>
        <v>4000000</v>
      </c>
      <c r="E15" s="12">
        <f>PLAN_5_LAT!D10*ZALOZENIA!$B$24</f>
        <v>35000</v>
      </c>
      <c r="F15" s="12">
        <f>C15*ZALOZENIA!$B$13*ZALOZENIA!$B$27</f>
        <v>220000</v>
      </c>
      <c r="G15" s="12">
        <f>D15*ZALOZENIA!$B$14*ZALOZENIA!$B$27</f>
        <v>40000</v>
      </c>
      <c r="H15" s="12">
        <f>(F15+G15)*ZALOZENIA!$B$15*ZALOZENIA!$B$27</f>
        <v>7800</v>
      </c>
      <c r="I15" s="12">
        <f>E15*ZALOZENIA!$B$33</f>
        <v>1750</v>
      </c>
      <c r="J15" s="12">
        <f>E15*ZALOZENIA!$B$30</f>
        <v>3500</v>
      </c>
      <c r="K15" s="12">
        <f t="shared" si="0"/>
        <v>13050</v>
      </c>
      <c r="L15" s="13">
        <f>K15*ZALOZENIA!$B$11</f>
        <v>1957500</v>
      </c>
      <c r="M15" s="13">
        <f>L15*ZALOZENIA!$B$12</f>
        <v>587250</v>
      </c>
      <c r="N15" s="13">
        <f>((ZALOZENIA!$B$6*ZALOZENIA!$B$7+ZALOZENIA!$B$8+ZALOZENIA!$B$9+ZALOZENIA!$B$10)*12+PLAN_5_LAT!E10+IF(B15=2027,ZALOZENIA!$B$16,0))*ZALOZENIA!$B$18</f>
        <v>536000</v>
      </c>
      <c r="O15" s="13">
        <f t="shared" si="1"/>
        <v>51250</v>
      </c>
      <c r="P15" s="14">
        <f t="shared" si="2"/>
        <v>9.561567164179105E-2</v>
      </c>
      <c r="Q15" s="13">
        <f>SUM($O$11:O15)</f>
        <v>-1125850</v>
      </c>
      <c r="R15" s="13">
        <f>IFERROR(N15/ZALOZENIA!$B$12,0)</f>
        <v>1786666.6666666667</v>
      </c>
      <c r="S15" s="12">
        <f>IFERROR(R15/ZALOZENIA!$B$11,0)</f>
        <v>11911.111111111111</v>
      </c>
      <c r="T15" s="12">
        <f t="shared" si="3"/>
        <v>260000</v>
      </c>
    </row>
    <row r="16" spans="1:20" ht="15">
      <c r="A16" s="11" t="s">
        <v>144</v>
      </c>
      <c r="B16" s="11">
        <v>2027</v>
      </c>
      <c r="C16" s="12">
        <f>PLAN_5_LAT!B6*ZALOZENIA!$B$22</f>
        <v>960000</v>
      </c>
      <c r="D16" s="12">
        <f>PLAN_5_LAT!C6*ZALOZENIA!$B$22</f>
        <v>480000</v>
      </c>
      <c r="E16" s="12">
        <f>PLAN_5_LAT!D6*ZALOZENIA!$B$25</f>
        <v>1500</v>
      </c>
      <c r="F16" s="12">
        <f>C16*ZALOZENIA!$B$13*ZALOZENIA!$B$28</f>
        <v>23040</v>
      </c>
      <c r="G16" s="12">
        <f>D16*ZALOZENIA!$B$14*ZALOZENIA!$B$28</f>
        <v>5760</v>
      </c>
      <c r="H16" s="12">
        <f>(F16+G16)*ZALOZENIA!$B$15*ZALOZENIA!$B$28</f>
        <v>1036.8</v>
      </c>
      <c r="I16" s="12">
        <f>E16*ZALOZENIA!$B$34</f>
        <v>120</v>
      </c>
      <c r="J16" s="12">
        <f>E16*ZALOZENIA!$B$31</f>
        <v>210.00000000000003</v>
      </c>
      <c r="K16" s="12">
        <f t="shared" si="0"/>
        <v>1366.8</v>
      </c>
      <c r="L16" s="13">
        <f>K16*ZALOZENIA!$B$11</f>
        <v>205020</v>
      </c>
      <c r="M16" s="13">
        <f>L16*ZALOZENIA!$B$12</f>
        <v>61506</v>
      </c>
      <c r="N16" s="13">
        <f>((ZALOZENIA!$B$6*ZALOZENIA!$B$7+ZALOZENIA!$B$8+ZALOZENIA!$B$9+ZALOZENIA!$B$10)*12+PLAN_5_LAT!E6+IF(B16=2027,ZALOZENIA!$B$16,0))*ZALOZENIA!$B$19</f>
        <v>526280</v>
      </c>
      <c r="O16" s="13">
        <f t="shared" si="1"/>
        <v>-464774</v>
      </c>
      <c r="P16" s="14">
        <f t="shared" si="2"/>
        <v>-0.88313065288439618</v>
      </c>
      <c r="Q16" s="13">
        <f>SUM($O$16:O16)</f>
        <v>-464774</v>
      </c>
      <c r="R16" s="13">
        <f>IFERROR(N16/ZALOZENIA!$B$12,0)</f>
        <v>1754266.6666666667</v>
      </c>
      <c r="S16" s="12">
        <f>IFERROR(R16/ZALOZENIA!$B$11,0)</f>
        <v>11695.111111111111</v>
      </c>
      <c r="T16" s="12">
        <f t="shared" si="3"/>
        <v>28800</v>
      </c>
    </row>
    <row r="17" spans="1:20" ht="15">
      <c r="A17" s="11" t="s">
        <v>144</v>
      </c>
      <c r="B17" s="11">
        <v>2028</v>
      </c>
      <c r="C17" s="12">
        <f>PLAN_5_LAT!B7*ZALOZENIA!$B$22</f>
        <v>2880000</v>
      </c>
      <c r="D17" s="12">
        <f>PLAN_5_LAT!C7*ZALOZENIA!$B$22</f>
        <v>1280000</v>
      </c>
      <c r="E17" s="12">
        <f>PLAN_5_LAT!D7*ZALOZENIA!$B$25</f>
        <v>6000</v>
      </c>
      <c r="F17" s="12">
        <f>C17*ZALOZENIA!$B$13*ZALOZENIA!$B$28</f>
        <v>69120</v>
      </c>
      <c r="G17" s="12">
        <f>D17*ZALOZENIA!$B$14*ZALOZENIA!$B$28</f>
        <v>15360</v>
      </c>
      <c r="H17" s="12">
        <f>(F17+G17)*ZALOZENIA!$B$15*ZALOZENIA!$B$28</f>
        <v>3041.28</v>
      </c>
      <c r="I17" s="12">
        <f>E17*ZALOZENIA!$B$34</f>
        <v>480</v>
      </c>
      <c r="J17" s="12">
        <f>E17*ZALOZENIA!$B$31</f>
        <v>840.00000000000011</v>
      </c>
      <c r="K17" s="12">
        <f t="shared" si="0"/>
        <v>4361.2800000000007</v>
      </c>
      <c r="L17" s="13">
        <f>K17*ZALOZENIA!$B$11</f>
        <v>654192.00000000012</v>
      </c>
      <c r="M17" s="13">
        <f>L17*ZALOZENIA!$B$12</f>
        <v>196257.60000000003</v>
      </c>
      <c r="N17" s="13">
        <f>((ZALOZENIA!$B$6*ZALOZENIA!$B$7+ZALOZENIA!$B$8+ZALOZENIA!$B$9+ZALOZENIA!$B$10)*12+PLAN_5_LAT!E7+IF(B17=2027,ZALOZENIA!$B$16,0))*ZALOZENIA!$B$19</f>
        <v>514480</v>
      </c>
      <c r="O17" s="13">
        <f t="shared" si="1"/>
        <v>-318222.39999999997</v>
      </c>
      <c r="P17" s="14">
        <f t="shared" si="2"/>
        <v>-0.61853211009174303</v>
      </c>
      <c r="Q17" s="13">
        <f>SUM($O$16:O17)</f>
        <v>-782996.39999999991</v>
      </c>
      <c r="R17" s="13">
        <f>IFERROR(N17/ZALOZENIA!$B$12,0)</f>
        <v>1714933.3333333335</v>
      </c>
      <c r="S17" s="12">
        <f>IFERROR(R17/ZALOZENIA!$B$11,0)</f>
        <v>11432.888888888891</v>
      </c>
      <c r="T17" s="12">
        <f t="shared" si="3"/>
        <v>84480</v>
      </c>
    </row>
    <row r="18" spans="1:20" ht="15">
      <c r="A18" s="11" t="s">
        <v>144</v>
      </c>
      <c r="B18" s="11">
        <v>2029</v>
      </c>
      <c r="C18" s="12">
        <f>PLAN_5_LAT!B8*ZALOZENIA!$B$22</f>
        <v>6400000</v>
      </c>
      <c r="D18" s="12">
        <f>PLAN_5_LAT!C8*ZALOZENIA!$B$22</f>
        <v>2400000</v>
      </c>
      <c r="E18" s="12">
        <f>PLAN_5_LAT!D8*ZALOZENIA!$B$25</f>
        <v>15000</v>
      </c>
      <c r="F18" s="12">
        <f>C18*ZALOZENIA!$B$13*ZALOZENIA!$B$28</f>
        <v>153600</v>
      </c>
      <c r="G18" s="12">
        <f>D18*ZALOZENIA!$B$14*ZALOZENIA!$B$28</f>
        <v>28800</v>
      </c>
      <c r="H18" s="12">
        <f>(F18+G18)*ZALOZENIA!$B$15*ZALOZENIA!$B$28</f>
        <v>6566.4</v>
      </c>
      <c r="I18" s="12">
        <f>E18*ZALOZENIA!$B$34</f>
        <v>1200</v>
      </c>
      <c r="J18" s="12">
        <f>E18*ZALOZENIA!$B$31</f>
        <v>2100</v>
      </c>
      <c r="K18" s="12">
        <f t="shared" si="0"/>
        <v>9866.4</v>
      </c>
      <c r="L18" s="13">
        <f>K18*ZALOZENIA!$B$11</f>
        <v>1479960</v>
      </c>
      <c r="M18" s="13">
        <f>L18*ZALOZENIA!$B$12</f>
        <v>443988</v>
      </c>
      <c r="N18" s="13">
        <f>((ZALOZENIA!$B$6*ZALOZENIA!$B$7+ZALOZENIA!$B$8+ZALOZENIA!$B$9+ZALOZENIA!$B$10)*12+PLAN_5_LAT!E8+IF(B18=2027,ZALOZENIA!$B$16,0))*ZALOZENIA!$B$19</f>
        <v>549880</v>
      </c>
      <c r="O18" s="13">
        <f t="shared" si="1"/>
        <v>-105892</v>
      </c>
      <c r="P18" s="14">
        <f t="shared" si="2"/>
        <v>-0.19257292500181858</v>
      </c>
      <c r="Q18" s="13">
        <f>SUM($O$16:O18)</f>
        <v>-888888.39999999991</v>
      </c>
      <c r="R18" s="13">
        <f>IFERROR(N18/ZALOZENIA!$B$12,0)</f>
        <v>1832933.3333333335</v>
      </c>
      <c r="S18" s="12">
        <f>IFERROR(R18/ZALOZENIA!$B$11,0)</f>
        <v>12219.555555555557</v>
      </c>
      <c r="T18" s="12">
        <f t="shared" si="3"/>
        <v>182400</v>
      </c>
    </row>
    <row r="19" spans="1:20" ht="15">
      <c r="A19" s="11" t="s">
        <v>144</v>
      </c>
      <c r="B19" s="11">
        <v>2030</v>
      </c>
      <c r="C19" s="12">
        <f>PLAN_5_LAT!B9*ZALOZENIA!$B$22</f>
        <v>11200000</v>
      </c>
      <c r="D19" s="12">
        <f>PLAN_5_LAT!C9*ZALOZENIA!$B$22</f>
        <v>4000000</v>
      </c>
      <c r="E19" s="12">
        <f>PLAN_5_LAT!D9*ZALOZENIA!$B$25</f>
        <v>30000</v>
      </c>
      <c r="F19" s="12">
        <f>C19*ZALOZENIA!$B$13*ZALOZENIA!$B$28</f>
        <v>268800</v>
      </c>
      <c r="G19" s="12">
        <f>D19*ZALOZENIA!$B$14*ZALOZENIA!$B$28</f>
        <v>48000</v>
      </c>
      <c r="H19" s="12">
        <f>(F19+G19)*ZALOZENIA!$B$15*ZALOZENIA!$B$28</f>
        <v>11404.8</v>
      </c>
      <c r="I19" s="12">
        <f>E19*ZALOZENIA!$B$34</f>
        <v>2400</v>
      </c>
      <c r="J19" s="12">
        <f>E19*ZALOZENIA!$B$31</f>
        <v>4200</v>
      </c>
      <c r="K19" s="12">
        <f t="shared" si="0"/>
        <v>18004.8</v>
      </c>
      <c r="L19" s="13">
        <f>K19*ZALOZENIA!$B$11</f>
        <v>2700720</v>
      </c>
      <c r="M19" s="13">
        <f>L19*ZALOZENIA!$B$12</f>
        <v>810216</v>
      </c>
      <c r="N19" s="13">
        <f>((ZALOZENIA!$B$6*ZALOZENIA!$B$7+ZALOZENIA!$B$8+ZALOZENIA!$B$9+ZALOZENIA!$B$10)*12+PLAN_5_LAT!E9+IF(B19=2027,ZALOZENIA!$B$16,0))*ZALOZENIA!$B$19</f>
        <v>585280</v>
      </c>
      <c r="O19" s="13">
        <f t="shared" si="1"/>
        <v>224936</v>
      </c>
      <c r="P19" s="14">
        <f t="shared" si="2"/>
        <v>0.3843220338983051</v>
      </c>
      <c r="Q19" s="13">
        <f>SUM($O$16:O19)</f>
        <v>-663952.39999999991</v>
      </c>
      <c r="R19" s="13">
        <f>IFERROR(N19/ZALOZENIA!$B$12,0)</f>
        <v>1950933.3333333335</v>
      </c>
      <c r="S19" s="12">
        <f>IFERROR(R19/ZALOZENIA!$B$11,0)</f>
        <v>13006.222222222223</v>
      </c>
      <c r="T19" s="12">
        <f t="shared" si="3"/>
        <v>316800</v>
      </c>
    </row>
    <row r="20" spans="1:20" ht="15">
      <c r="A20" s="11" t="s">
        <v>144</v>
      </c>
      <c r="B20" s="11">
        <v>2031</v>
      </c>
      <c r="C20" s="12">
        <f>PLAN_5_LAT!B10*ZALOZENIA!$B$22</f>
        <v>17600000</v>
      </c>
      <c r="D20" s="12">
        <f>PLAN_5_LAT!C10*ZALOZENIA!$B$22</f>
        <v>6400000</v>
      </c>
      <c r="E20" s="12">
        <f>PLAN_5_LAT!D10*ZALOZENIA!$B$25</f>
        <v>52500</v>
      </c>
      <c r="F20" s="12">
        <f>C20*ZALOZENIA!$B$13*ZALOZENIA!$B$28</f>
        <v>422400</v>
      </c>
      <c r="G20" s="12">
        <f>D20*ZALOZENIA!$B$14*ZALOZENIA!$B$28</f>
        <v>76800</v>
      </c>
      <c r="H20" s="12">
        <f>(F20+G20)*ZALOZENIA!$B$15*ZALOZENIA!$B$28</f>
        <v>17971.2</v>
      </c>
      <c r="I20" s="12">
        <f>E20*ZALOZENIA!$B$34</f>
        <v>4200</v>
      </c>
      <c r="J20" s="12">
        <f>E20*ZALOZENIA!$B$31</f>
        <v>7350.0000000000009</v>
      </c>
      <c r="K20" s="12">
        <f t="shared" si="0"/>
        <v>29521.200000000001</v>
      </c>
      <c r="L20" s="13">
        <f>K20*ZALOZENIA!$B$11</f>
        <v>4428180</v>
      </c>
      <c r="M20" s="13">
        <f>L20*ZALOZENIA!$B$12</f>
        <v>1328454</v>
      </c>
      <c r="N20" s="13">
        <f>((ZALOZENIA!$B$6*ZALOZENIA!$B$7+ZALOZENIA!$B$8+ZALOZENIA!$B$9+ZALOZENIA!$B$10)*12+PLAN_5_LAT!E10+IF(B20=2027,ZALOZENIA!$B$16,0))*ZALOZENIA!$B$19</f>
        <v>632480</v>
      </c>
      <c r="O20" s="13">
        <f t="shared" si="1"/>
        <v>695974</v>
      </c>
      <c r="P20" s="14">
        <f t="shared" si="2"/>
        <v>1.1003889451049835</v>
      </c>
      <c r="Q20" s="13">
        <f>SUM($O$16:O20)</f>
        <v>32021.600000000093</v>
      </c>
      <c r="R20" s="13">
        <f>IFERROR(N20/ZALOZENIA!$B$12,0)</f>
        <v>2108266.666666667</v>
      </c>
      <c r="S20" s="12">
        <f>IFERROR(R20/ZALOZENIA!$B$11,0)</f>
        <v>14055.111111111113</v>
      </c>
      <c r="T20" s="12">
        <f t="shared" si="3"/>
        <v>499200</v>
      </c>
    </row>
    <row r="23" spans="1:20" ht="33.950000000000003" customHeight="1">
      <c r="A23" s="46" t="s">
        <v>215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5" spans="1:20" ht="33.950000000000003" customHeight="1">
      <c r="A25" s="43" t="s">
        <v>145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31" spans="1:20" ht="18">
      <c r="L31" s="29" t="s">
        <v>29</v>
      </c>
      <c r="M31" s="29" t="s">
        <v>129</v>
      </c>
      <c r="N31" s="29" t="s">
        <v>130</v>
      </c>
    </row>
    <row r="32" spans="1:20" ht="18">
      <c r="L32" s="30">
        <v>2027</v>
      </c>
      <c r="M32" s="31">
        <v>12000</v>
      </c>
      <c r="N32" s="31">
        <v>8000</v>
      </c>
      <c r="P32" s="47" t="s">
        <v>220</v>
      </c>
      <c r="Q32" s="47"/>
      <c r="R32" s="47"/>
      <c r="S32" s="47"/>
      <c r="T32" s="47"/>
    </row>
    <row r="33" spans="12:20" ht="18">
      <c r="L33" s="30">
        <v>2028</v>
      </c>
      <c r="M33" s="31">
        <v>36000</v>
      </c>
      <c r="N33" s="31">
        <v>16000</v>
      </c>
      <c r="P33" s="45" t="s">
        <v>221</v>
      </c>
      <c r="Q33" s="45"/>
      <c r="R33" s="45"/>
      <c r="S33" s="45"/>
      <c r="T33" s="33"/>
    </row>
    <row r="34" spans="12:20" ht="18">
      <c r="L34" s="30">
        <v>2029</v>
      </c>
      <c r="M34" s="31">
        <v>80000</v>
      </c>
      <c r="N34" s="31">
        <v>30000</v>
      </c>
      <c r="P34" s="32"/>
      <c r="Q34" s="32"/>
      <c r="R34" s="32"/>
      <c r="S34" s="32"/>
      <c r="T34" s="32"/>
    </row>
    <row r="35" spans="12:20" ht="18">
      <c r="L35" s="30">
        <v>2030</v>
      </c>
      <c r="M35" s="31">
        <v>140000</v>
      </c>
      <c r="N35" s="31">
        <v>50000</v>
      </c>
      <c r="P35" s="32"/>
      <c r="Q35" s="32"/>
      <c r="R35" s="32"/>
      <c r="S35" s="32"/>
      <c r="T35" s="32"/>
    </row>
    <row r="36" spans="12:20" ht="18">
      <c r="L36" s="30">
        <v>2031</v>
      </c>
      <c r="M36" s="31">
        <v>220000</v>
      </c>
      <c r="N36" s="31">
        <v>80000</v>
      </c>
      <c r="P36" s="32"/>
      <c r="Q36" s="32"/>
      <c r="R36" s="32"/>
      <c r="S36" s="32"/>
      <c r="T36" s="32"/>
    </row>
  </sheetData>
  <mergeCells count="6">
    <mergeCell ref="P33:S33"/>
    <mergeCell ref="A1:L2"/>
    <mergeCell ref="A3:L3"/>
    <mergeCell ref="A23:T23"/>
    <mergeCell ref="A25:T25"/>
    <mergeCell ref="P32:T32"/>
  </mergeCells>
  <conditionalFormatting sqref="O6:O20">
    <cfRule type="cellIs" dxfId="2" priority="1" operator="lessThan">
      <formula>0</formula>
    </cfRule>
  </conditionalFormatting>
  <conditionalFormatting sqref="Q6:Q20">
    <cfRule type="cellIs" dxfId="1" priority="2" operator="lessThan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37" sqref="D37"/>
    </sheetView>
  </sheetViews>
  <sheetFormatPr defaultRowHeight="14.25"/>
  <cols>
    <col min="1" max="8" width="22" customWidth="1"/>
  </cols>
  <sheetData>
    <row r="1" spans="1:8" ht="24" customHeight="1">
      <c r="A1" s="40" t="s">
        <v>146</v>
      </c>
      <c r="B1" s="40"/>
      <c r="C1" s="40"/>
      <c r="D1" s="40"/>
      <c r="E1" s="40"/>
      <c r="F1" s="40"/>
      <c r="G1" s="40"/>
      <c r="H1" s="40"/>
    </row>
    <row r="2" spans="1:8" ht="24" customHeight="1">
      <c r="A2" s="40"/>
      <c r="B2" s="40"/>
      <c r="C2" s="40"/>
      <c r="D2" s="40"/>
      <c r="E2" s="40"/>
      <c r="F2" s="40"/>
      <c r="G2" s="40"/>
      <c r="H2" s="40"/>
    </row>
    <row r="3" spans="1:8" ht="26.1" customHeight="1">
      <c r="A3" s="41" t="s">
        <v>147</v>
      </c>
      <c r="B3" s="41"/>
      <c r="C3" s="41"/>
      <c r="D3" s="41"/>
      <c r="E3" s="41"/>
      <c r="F3" s="41"/>
      <c r="G3" s="41"/>
      <c r="H3" s="41"/>
    </row>
    <row r="5" spans="1:8" ht="30" customHeight="1">
      <c r="A5" s="2" t="s">
        <v>148</v>
      </c>
      <c r="B5" s="2" t="s">
        <v>29</v>
      </c>
      <c r="C5" s="2" t="s">
        <v>149</v>
      </c>
      <c r="D5" s="2" t="s">
        <v>140</v>
      </c>
      <c r="E5" s="2" t="s">
        <v>150</v>
      </c>
      <c r="F5" s="2" t="s">
        <v>151</v>
      </c>
      <c r="G5" s="2" t="s">
        <v>152</v>
      </c>
      <c r="H5" s="2" t="s">
        <v>153</v>
      </c>
    </row>
    <row r="6" spans="1:8">
      <c r="A6" s="27" t="str">
        <f>SCENARIUSZE!A6</f>
        <v>Low</v>
      </c>
      <c r="B6" s="27">
        <f>SCENARIUSZE!B6</f>
        <v>2027</v>
      </c>
      <c r="C6" s="28">
        <f>SCENARIUSZE!N6</f>
        <v>401400</v>
      </c>
      <c r="D6" s="28">
        <f>SCENARIUSZE!R6</f>
        <v>1338000</v>
      </c>
      <c r="E6" s="28">
        <f>SCENARIUSZE!L6</f>
        <v>29081.25</v>
      </c>
      <c r="F6" s="28">
        <f t="shared" ref="F6:F20" si="0">E6-D6</f>
        <v>-1308918.75</v>
      </c>
      <c r="G6" s="28">
        <f>SCENARIUSZE!O6</f>
        <v>-392675.625</v>
      </c>
      <c r="H6" s="28">
        <f>SCENARIUSZE!Q6</f>
        <v>-392675.625</v>
      </c>
    </row>
    <row r="7" spans="1:8">
      <c r="A7" s="27" t="str">
        <f>SCENARIUSZE!A7</f>
        <v>Low</v>
      </c>
      <c r="B7" s="27">
        <f>SCENARIUSZE!B7</f>
        <v>2028</v>
      </c>
      <c r="C7" s="28">
        <f>SCENARIUSZE!N7</f>
        <v>392400</v>
      </c>
      <c r="D7" s="28">
        <f>SCENARIUSZE!R7</f>
        <v>1308000</v>
      </c>
      <c r="E7" s="28">
        <f>SCENARIUSZE!L7</f>
        <v>92025</v>
      </c>
      <c r="F7" s="28">
        <f t="shared" si="0"/>
        <v>-1215975</v>
      </c>
      <c r="G7" s="28">
        <f>SCENARIUSZE!O7</f>
        <v>-364792.5</v>
      </c>
      <c r="H7" s="28">
        <f>SCENARIUSZE!Q7</f>
        <v>-757468.125</v>
      </c>
    </row>
    <row r="8" spans="1:8">
      <c r="A8" s="27" t="str">
        <f>SCENARIUSZE!A8</f>
        <v>Low</v>
      </c>
      <c r="B8" s="27">
        <f>SCENARIUSZE!B8</f>
        <v>2029</v>
      </c>
      <c r="C8" s="28">
        <f>SCENARIUSZE!N8</f>
        <v>419400</v>
      </c>
      <c r="D8" s="28">
        <f>SCENARIUSZE!R8</f>
        <v>1398000</v>
      </c>
      <c r="E8" s="28">
        <f>SCENARIUSZE!L8</f>
        <v>207281.25</v>
      </c>
      <c r="F8" s="28">
        <f t="shared" si="0"/>
        <v>-1190718.75</v>
      </c>
      <c r="G8" s="28">
        <f>SCENARIUSZE!O8</f>
        <v>-357215.625</v>
      </c>
      <c r="H8" s="28">
        <f>SCENARIUSZE!Q8</f>
        <v>-1114683.75</v>
      </c>
    </row>
    <row r="9" spans="1:8">
      <c r="A9" s="27" t="str">
        <f>SCENARIUSZE!A9</f>
        <v>Low</v>
      </c>
      <c r="B9" s="27">
        <f>SCENARIUSZE!B9</f>
        <v>2030</v>
      </c>
      <c r="C9" s="28">
        <f>SCENARIUSZE!N9</f>
        <v>446400</v>
      </c>
      <c r="D9" s="28">
        <f>SCENARIUSZE!R9</f>
        <v>1488000</v>
      </c>
      <c r="E9" s="28">
        <f>SCENARIUSZE!L9</f>
        <v>376593.75</v>
      </c>
      <c r="F9" s="28">
        <f t="shared" si="0"/>
        <v>-1111406.25</v>
      </c>
      <c r="G9" s="28">
        <f>SCENARIUSZE!O9</f>
        <v>-333421.875</v>
      </c>
      <c r="H9" s="28">
        <f>SCENARIUSZE!Q9</f>
        <v>-1448105.625</v>
      </c>
    </row>
    <row r="10" spans="1:8">
      <c r="A10" s="27" t="str">
        <f>SCENARIUSZE!A10</f>
        <v>Low</v>
      </c>
      <c r="B10" s="27">
        <f>SCENARIUSZE!B10</f>
        <v>2031</v>
      </c>
      <c r="C10" s="28">
        <f>SCENARIUSZE!N10</f>
        <v>482400</v>
      </c>
      <c r="D10" s="28">
        <f>SCENARIUSZE!R10</f>
        <v>1608000</v>
      </c>
      <c r="E10" s="28">
        <f>SCENARIUSZE!L10</f>
        <v>615375</v>
      </c>
      <c r="F10" s="28">
        <f t="shared" si="0"/>
        <v>-992625</v>
      </c>
      <c r="G10" s="28">
        <f>SCENARIUSZE!O10</f>
        <v>-297787.5</v>
      </c>
      <c r="H10" s="28">
        <f>SCENARIUSZE!Q10</f>
        <v>-1745893.125</v>
      </c>
    </row>
    <row r="11" spans="1:8">
      <c r="A11" s="27" t="str">
        <f>SCENARIUSZE!A11</f>
        <v>Base</v>
      </c>
      <c r="B11" s="27">
        <f>SCENARIUSZE!B11</f>
        <v>2027</v>
      </c>
      <c r="C11" s="28">
        <f>SCENARIUSZE!N11</f>
        <v>446000</v>
      </c>
      <c r="D11" s="28">
        <f>SCENARIUSZE!R11</f>
        <v>1486666.6666666667</v>
      </c>
      <c r="E11" s="28">
        <f>SCENARIUSZE!L11</f>
        <v>90000</v>
      </c>
      <c r="F11" s="28">
        <f t="shared" si="0"/>
        <v>-1396666.6666666667</v>
      </c>
      <c r="G11" s="28">
        <f>SCENARIUSZE!O11</f>
        <v>-419000</v>
      </c>
      <c r="H11" s="28">
        <f>SCENARIUSZE!Q11</f>
        <v>-419000</v>
      </c>
    </row>
    <row r="12" spans="1:8">
      <c r="A12" s="27" t="str">
        <f>SCENARIUSZE!A12</f>
        <v>Base</v>
      </c>
      <c r="B12" s="27">
        <f>SCENARIUSZE!B12</f>
        <v>2028</v>
      </c>
      <c r="C12" s="28">
        <f>SCENARIUSZE!N12</f>
        <v>436000</v>
      </c>
      <c r="D12" s="28">
        <f>SCENARIUSZE!R12</f>
        <v>1453333.3333333335</v>
      </c>
      <c r="E12" s="28">
        <f>SCENARIUSZE!L12</f>
        <v>288000</v>
      </c>
      <c r="F12" s="28">
        <f t="shared" si="0"/>
        <v>-1165333.3333333335</v>
      </c>
      <c r="G12" s="28">
        <f>SCENARIUSZE!O12</f>
        <v>-349600</v>
      </c>
      <c r="H12" s="28">
        <f>SCENARIUSZE!Q12</f>
        <v>-768600</v>
      </c>
    </row>
    <row r="13" spans="1:8">
      <c r="A13" s="27" t="str">
        <f>SCENARIUSZE!A13</f>
        <v>Base</v>
      </c>
      <c r="B13" s="27">
        <f>SCENARIUSZE!B13</f>
        <v>2029</v>
      </c>
      <c r="C13" s="28">
        <f>SCENARIUSZE!N13</f>
        <v>466000</v>
      </c>
      <c r="D13" s="28">
        <f>SCENARIUSZE!R13</f>
        <v>1553333.3333333335</v>
      </c>
      <c r="E13" s="28">
        <f>SCENARIUSZE!L13</f>
        <v>652500</v>
      </c>
      <c r="F13" s="28">
        <f t="shared" si="0"/>
        <v>-900833.33333333349</v>
      </c>
      <c r="G13" s="28">
        <f>SCENARIUSZE!O13</f>
        <v>-270250</v>
      </c>
      <c r="H13" s="28">
        <f>SCENARIUSZE!Q13</f>
        <v>-1038850</v>
      </c>
    </row>
    <row r="14" spans="1:8">
      <c r="A14" s="27" t="str">
        <f>SCENARIUSZE!A14</f>
        <v>Base</v>
      </c>
      <c r="B14" s="27">
        <f>SCENARIUSZE!B14</f>
        <v>2030</v>
      </c>
      <c r="C14" s="28">
        <f>SCENARIUSZE!N14</f>
        <v>496000</v>
      </c>
      <c r="D14" s="28">
        <f>SCENARIUSZE!R14</f>
        <v>1653333.3333333335</v>
      </c>
      <c r="E14" s="28">
        <f>SCENARIUSZE!L14</f>
        <v>1192500</v>
      </c>
      <c r="F14" s="28">
        <f t="shared" si="0"/>
        <v>-460833.33333333349</v>
      </c>
      <c r="G14" s="28">
        <f>SCENARIUSZE!O14</f>
        <v>-138250</v>
      </c>
      <c r="H14" s="28">
        <f>SCENARIUSZE!Q14</f>
        <v>-1177100</v>
      </c>
    </row>
    <row r="15" spans="1:8">
      <c r="A15" s="27" t="str">
        <f>SCENARIUSZE!A15</f>
        <v>Base</v>
      </c>
      <c r="B15" s="27">
        <f>SCENARIUSZE!B15</f>
        <v>2031</v>
      </c>
      <c r="C15" s="28">
        <f>SCENARIUSZE!N15</f>
        <v>536000</v>
      </c>
      <c r="D15" s="28">
        <f>SCENARIUSZE!R15</f>
        <v>1786666.6666666667</v>
      </c>
      <c r="E15" s="28">
        <f>SCENARIUSZE!L15</f>
        <v>1957500</v>
      </c>
      <c r="F15" s="28">
        <f t="shared" si="0"/>
        <v>170833.33333333326</v>
      </c>
      <c r="G15" s="28">
        <f>SCENARIUSZE!O15</f>
        <v>51250</v>
      </c>
      <c r="H15" s="28">
        <f>SCENARIUSZE!Q15</f>
        <v>-1125850</v>
      </c>
    </row>
    <row r="16" spans="1:8">
      <c r="A16" s="27" t="str">
        <f>SCENARIUSZE!A16</f>
        <v>High</v>
      </c>
      <c r="B16" s="27">
        <f>SCENARIUSZE!B16</f>
        <v>2027</v>
      </c>
      <c r="C16" s="28">
        <f>SCENARIUSZE!N16</f>
        <v>526280</v>
      </c>
      <c r="D16" s="28">
        <f>SCENARIUSZE!R16</f>
        <v>1754266.6666666667</v>
      </c>
      <c r="E16" s="28">
        <f>SCENARIUSZE!L16</f>
        <v>205020</v>
      </c>
      <c r="F16" s="28">
        <f t="shared" si="0"/>
        <v>-1549246.6666666667</v>
      </c>
      <c r="G16" s="28">
        <f>SCENARIUSZE!O16</f>
        <v>-464774</v>
      </c>
      <c r="H16" s="28">
        <f>SCENARIUSZE!Q16</f>
        <v>-464774</v>
      </c>
    </row>
    <row r="17" spans="1:8">
      <c r="A17" s="27" t="str">
        <f>SCENARIUSZE!A17</f>
        <v>High</v>
      </c>
      <c r="B17" s="27">
        <f>SCENARIUSZE!B17</f>
        <v>2028</v>
      </c>
      <c r="C17" s="28">
        <f>SCENARIUSZE!N17</f>
        <v>514480</v>
      </c>
      <c r="D17" s="28">
        <f>SCENARIUSZE!R17</f>
        <v>1714933.3333333335</v>
      </c>
      <c r="E17" s="28">
        <f>SCENARIUSZE!L17</f>
        <v>654192.00000000012</v>
      </c>
      <c r="F17" s="28">
        <f t="shared" si="0"/>
        <v>-1060741.3333333335</v>
      </c>
      <c r="G17" s="28">
        <f>SCENARIUSZE!O17</f>
        <v>-318222.39999999997</v>
      </c>
      <c r="H17" s="28">
        <f>SCENARIUSZE!Q17</f>
        <v>-782996.39999999991</v>
      </c>
    </row>
    <row r="18" spans="1:8">
      <c r="A18" s="27" t="str">
        <f>SCENARIUSZE!A18</f>
        <v>High</v>
      </c>
      <c r="B18" s="27">
        <f>SCENARIUSZE!B18</f>
        <v>2029</v>
      </c>
      <c r="C18" s="28">
        <f>SCENARIUSZE!N18</f>
        <v>549880</v>
      </c>
      <c r="D18" s="28">
        <f>SCENARIUSZE!R18</f>
        <v>1832933.3333333335</v>
      </c>
      <c r="E18" s="28">
        <f>SCENARIUSZE!L18</f>
        <v>1479960</v>
      </c>
      <c r="F18" s="28">
        <f t="shared" si="0"/>
        <v>-352973.33333333349</v>
      </c>
      <c r="G18" s="28">
        <f>SCENARIUSZE!O18</f>
        <v>-105892</v>
      </c>
      <c r="H18" s="28">
        <f>SCENARIUSZE!Q18</f>
        <v>-888888.39999999991</v>
      </c>
    </row>
    <row r="19" spans="1:8">
      <c r="A19" s="27" t="str">
        <f>SCENARIUSZE!A19</f>
        <v>High</v>
      </c>
      <c r="B19" s="27">
        <f>SCENARIUSZE!B19</f>
        <v>2030</v>
      </c>
      <c r="C19" s="28">
        <f>SCENARIUSZE!N19</f>
        <v>585280</v>
      </c>
      <c r="D19" s="28">
        <f>SCENARIUSZE!R19</f>
        <v>1950933.3333333335</v>
      </c>
      <c r="E19" s="28">
        <f>SCENARIUSZE!L19</f>
        <v>2700720</v>
      </c>
      <c r="F19" s="28">
        <f t="shared" si="0"/>
        <v>749786.66666666651</v>
      </c>
      <c r="G19" s="28">
        <f>SCENARIUSZE!O19</f>
        <v>224936</v>
      </c>
      <c r="H19" s="28">
        <f>SCENARIUSZE!Q19</f>
        <v>-663952.39999999991</v>
      </c>
    </row>
    <row r="20" spans="1:8">
      <c r="A20" s="27" t="str">
        <f>SCENARIUSZE!A20</f>
        <v>High</v>
      </c>
      <c r="B20" s="27">
        <f>SCENARIUSZE!B20</f>
        <v>2031</v>
      </c>
      <c r="C20" s="28">
        <f>SCENARIUSZE!N20</f>
        <v>632480</v>
      </c>
      <c r="D20" s="28">
        <f>SCENARIUSZE!R20</f>
        <v>2108266.666666667</v>
      </c>
      <c r="E20" s="28">
        <f>SCENARIUSZE!L20</f>
        <v>4428180</v>
      </c>
      <c r="F20" s="28">
        <f t="shared" si="0"/>
        <v>2319913.333333333</v>
      </c>
      <c r="G20" s="28">
        <f>SCENARIUSZE!O20</f>
        <v>695974</v>
      </c>
      <c r="H20" s="28">
        <f>SCENARIUSZE!Q20</f>
        <v>32021.600000000093</v>
      </c>
    </row>
    <row r="23" spans="1:8" ht="33.950000000000003" customHeight="1">
      <c r="A23" s="43" t="s">
        <v>218</v>
      </c>
      <c r="B23" s="43"/>
      <c r="C23" s="43"/>
      <c r="D23" s="43"/>
      <c r="E23" s="43"/>
      <c r="F23" s="43"/>
      <c r="G23" s="43"/>
      <c r="H23" s="43"/>
    </row>
    <row r="25" spans="1:8" ht="33.950000000000003" customHeight="1">
      <c r="A25" s="43" t="s">
        <v>154</v>
      </c>
      <c r="B25" s="43"/>
      <c r="C25" s="43"/>
      <c r="D25" s="43"/>
      <c r="E25" s="43"/>
      <c r="F25" s="43"/>
      <c r="G25" s="43"/>
      <c r="H25" s="43"/>
    </row>
  </sheetData>
  <mergeCells count="4">
    <mergeCell ref="A1:H2"/>
    <mergeCell ref="A3:H3"/>
    <mergeCell ref="A23:H23"/>
    <mergeCell ref="A25:H25"/>
  </mergeCells>
  <conditionalFormatting sqref="F6:H2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7" workbookViewId="0">
      <selection activeCell="E33" sqref="E33"/>
    </sheetView>
  </sheetViews>
  <sheetFormatPr defaultRowHeight="14.25"/>
  <cols>
    <col min="1" max="1" width="25" customWidth="1"/>
    <col min="2" max="6" width="23" customWidth="1"/>
  </cols>
  <sheetData>
    <row r="1" spans="1:8" ht="24" customHeight="1">
      <c r="A1" s="40" t="s">
        <v>217</v>
      </c>
      <c r="B1" s="40"/>
      <c r="C1" s="40"/>
      <c r="D1" s="40"/>
      <c r="E1" s="40"/>
      <c r="F1" s="40"/>
      <c r="G1" s="40"/>
      <c r="H1" s="40"/>
    </row>
    <row r="2" spans="1:8" ht="24" customHeight="1">
      <c r="A2" s="40"/>
      <c r="B2" s="40"/>
      <c r="C2" s="40"/>
      <c r="D2" s="40"/>
      <c r="E2" s="40"/>
      <c r="F2" s="40"/>
      <c r="G2" s="40"/>
      <c r="H2" s="40"/>
    </row>
    <row r="3" spans="1:8" ht="26.1" customHeight="1">
      <c r="A3" s="41" t="s">
        <v>155</v>
      </c>
      <c r="B3" s="41"/>
      <c r="C3" s="41"/>
      <c r="D3" s="41"/>
      <c r="E3" s="41"/>
      <c r="F3" s="41"/>
      <c r="G3" s="41"/>
      <c r="H3" s="41"/>
    </row>
    <row r="5" spans="1:8" ht="30" customHeight="1">
      <c r="A5" s="17" t="s">
        <v>156</v>
      </c>
      <c r="B5" s="17" t="s">
        <v>157</v>
      </c>
      <c r="C5" s="17" t="s">
        <v>158</v>
      </c>
      <c r="D5" s="17" t="s">
        <v>159</v>
      </c>
      <c r="E5" s="17" t="s">
        <v>160</v>
      </c>
      <c r="F5" s="17" t="s">
        <v>161</v>
      </c>
    </row>
    <row r="6" spans="1:8" ht="15">
      <c r="A6" s="4" t="s">
        <v>162</v>
      </c>
      <c r="B6" s="15">
        <v>7033.78</v>
      </c>
      <c r="C6" s="16">
        <v>72</v>
      </c>
      <c r="D6" s="16">
        <v>51</v>
      </c>
      <c r="E6" s="16">
        <v>8</v>
      </c>
      <c r="F6" s="15">
        <f t="shared" ref="F6:F16" si="0">IFERROR(B6/C6,0)</f>
        <v>97.691388888888881</v>
      </c>
    </row>
    <row r="7" spans="1:8" ht="15">
      <c r="A7" s="4" t="s">
        <v>163</v>
      </c>
      <c r="B7" s="15">
        <v>25158.22</v>
      </c>
      <c r="C7" s="16">
        <v>252</v>
      </c>
      <c r="D7" s="16">
        <v>142</v>
      </c>
      <c r="E7" s="16">
        <v>37</v>
      </c>
      <c r="F7" s="15">
        <f t="shared" si="0"/>
        <v>99.834206349206355</v>
      </c>
    </row>
    <row r="8" spans="1:8" ht="15">
      <c r="A8" s="4" t="s">
        <v>164</v>
      </c>
      <c r="B8" s="15">
        <v>43752.17</v>
      </c>
      <c r="C8" s="16">
        <v>450</v>
      </c>
      <c r="D8" s="16">
        <v>230</v>
      </c>
      <c r="E8" s="16">
        <v>56</v>
      </c>
      <c r="F8" s="15">
        <f t="shared" si="0"/>
        <v>97.227044444444445</v>
      </c>
    </row>
    <row r="9" spans="1:8" ht="15">
      <c r="A9" s="4" t="s">
        <v>165</v>
      </c>
      <c r="B9" s="15">
        <v>66627.98</v>
      </c>
      <c r="C9" s="16">
        <v>639</v>
      </c>
      <c r="D9" s="16">
        <v>330</v>
      </c>
      <c r="E9" s="16">
        <v>78</v>
      </c>
      <c r="F9" s="15">
        <f t="shared" si="0"/>
        <v>104.26913928012519</v>
      </c>
    </row>
    <row r="10" spans="1:8" ht="15">
      <c r="A10" s="4" t="s">
        <v>166</v>
      </c>
      <c r="B10" s="15">
        <v>70117.570000000007</v>
      </c>
      <c r="C10" s="16">
        <v>728</v>
      </c>
      <c r="D10" s="16">
        <v>403</v>
      </c>
      <c r="E10" s="16">
        <v>78</v>
      </c>
      <c r="F10" s="15">
        <f t="shared" si="0"/>
        <v>96.315343406593414</v>
      </c>
    </row>
    <row r="11" spans="1:8" ht="15">
      <c r="A11" s="4" t="s">
        <v>167</v>
      </c>
      <c r="B11" s="15">
        <v>106681.49</v>
      </c>
      <c r="C11" s="16">
        <v>990</v>
      </c>
      <c r="D11" s="16">
        <v>487</v>
      </c>
      <c r="E11" s="16">
        <v>106</v>
      </c>
      <c r="F11" s="15">
        <f t="shared" si="0"/>
        <v>107.75908080808081</v>
      </c>
    </row>
    <row r="12" spans="1:8" ht="15">
      <c r="A12" s="4" t="s">
        <v>168</v>
      </c>
      <c r="B12" s="15">
        <v>115912.21</v>
      </c>
      <c r="C12" s="16">
        <v>1118</v>
      </c>
      <c r="D12" s="16">
        <v>569</v>
      </c>
      <c r="E12" s="16">
        <v>100</v>
      </c>
      <c r="F12" s="15">
        <f t="shared" si="0"/>
        <v>103.67818425760287</v>
      </c>
    </row>
    <row r="13" spans="1:8" ht="15">
      <c r="A13" s="4" t="s">
        <v>169</v>
      </c>
      <c r="B13" s="15">
        <v>135717.26999999999</v>
      </c>
      <c r="C13" s="16">
        <v>1355</v>
      </c>
      <c r="D13" s="16">
        <v>674</v>
      </c>
      <c r="E13" s="16">
        <v>154</v>
      </c>
      <c r="F13" s="15">
        <f t="shared" si="0"/>
        <v>100.16034686346863</v>
      </c>
    </row>
    <row r="14" spans="1:8" ht="15">
      <c r="A14" s="4" t="s">
        <v>170</v>
      </c>
      <c r="B14" s="15">
        <v>152384.71</v>
      </c>
      <c r="C14" s="16">
        <v>1475</v>
      </c>
      <c r="D14" s="16">
        <v>745</v>
      </c>
      <c r="E14" s="16">
        <v>161</v>
      </c>
      <c r="F14" s="15">
        <f t="shared" si="0"/>
        <v>103.31166779661017</v>
      </c>
    </row>
    <row r="15" spans="1:8" ht="15">
      <c r="A15" s="4" t="s">
        <v>171</v>
      </c>
      <c r="B15" s="15">
        <v>162263.54</v>
      </c>
      <c r="C15" s="16">
        <v>1620</v>
      </c>
      <c r="D15" s="16">
        <v>817</v>
      </c>
      <c r="E15" s="16">
        <v>167</v>
      </c>
      <c r="F15" s="15">
        <f t="shared" si="0"/>
        <v>100.16267901234568</v>
      </c>
    </row>
    <row r="16" spans="1:8" ht="15">
      <c r="A16" s="4" t="s">
        <v>172</v>
      </c>
      <c r="B16" s="15">
        <v>181443.36</v>
      </c>
      <c r="C16" s="16">
        <v>1764</v>
      </c>
      <c r="D16" s="16">
        <v>857</v>
      </c>
      <c r="E16" s="16">
        <v>199</v>
      </c>
      <c r="F16" s="15">
        <f t="shared" si="0"/>
        <v>102.85904761904762</v>
      </c>
    </row>
    <row r="17" spans="1:8" ht="15">
      <c r="A17" s="4"/>
      <c r="B17" s="15"/>
      <c r="C17" s="16"/>
      <c r="D17" s="16"/>
      <c r="E17" s="16"/>
      <c r="F17" s="15"/>
    </row>
    <row r="18" spans="1:8" ht="15">
      <c r="A18" s="18" t="s">
        <v>173</v>
      </c>
      <c r="B18" s="19">
        <f>SUM(B6:B16)</f>
        <v>1067092.3</v>
      </c>
      <c r="C18" s="20">
        <f>SUM(C6:C16)</f>
        <v>10463</v>
      </c>
      <c r="D18" s="20"/>
      <c r="E18" s="20">
        <f>SUM(E6:E16)</f>
        <v>1144</v>
      </c>
      <c r="F18" s="19">
        <f>IFERROR(B18/C18,0)</f>
        <v>101.9872216381535</v>
      </c>
    </row>
    <row r="21" spans="1:8" ht="33.950000000000003" customHeight="1">
      <c r="A21" s="48" t="s">
        <v>219</v>
      </c>
      <c r="B21" s="43"/>
      <c r="C21" s="43"/>
      <c r="D21" s="43"/>
      <c r="E21" s="43"/>
      <c r="F21" s="43"/>
      <c r="G21" s="43"/>
      <c r="H21" s="43"/>
    </row>
  </sheetData>
  <mergeCells count="3">
    <mergeCell ref="A1:H2"/>
    <mergeCell ref="A3:H3"/>
    <mergeCell ref="A21:H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13" workbookViewId="0">
      <selection activeCell="B8" sqref="B8"/>
    </sheetView>
  </sheetViews>
  <sheetFormatPr defaultRowHeight="14.25"/>
  <cols>
    <col min="1" max="1" width="25" customWidth="1"/>
    <col min="2" max="2" width="92" customWidth="1"/>
    <col min="3" max="3" width="48" customWidth="1"/>
    <col min="4" max="4" width="46" customWidth="1"/>
  </cols>
  <sheetData>
    <row r="1" spans="1:8" ht="24" customHeight="1">
      <c r="A1" s="40" t="s">
        <v>174</v>
      </c>
      <c r="B1" s="40"/>
      <c r="C1" s="40"/>
      <c r="D1" s="40"/>
      <c r="E1" s="40"/>
      <c r="F1" s="40"/>
      <c r="G1" s="40"/>
      <c r="H1" s="40"/>
    </row>
    <row r="2" spans="1:8" ht="24" customHeight="1">
      <c r="A2" s="40"/>
      <c r="B2" s="40"/>
      <c r="C2" s="40"/>
      <c r="D2" s="40"/>
      <c r="E2" s="40"/>
      <c r="F2" s="40"/>
      <c r="G2" s="40"/>
      <c r="H2" s="40"/>
    </row>
    <row r="3" spans="1:8" ht="26.1" customHeight="1">
      <c r="A3" s="41" t="s">
        <v>216</v>
      </c>
      <c r="B3" s="41"/>
      <c r="C3" s="41"/>
      <c r="D3" s="41"/>
      <c r="E3" s="41"/>
      <c r="F3" s="41"/>
      <c r="G3" s="41"/>
      <c r="H3" s="41"/>
    </row>
    <row r="5" spans="1:8" ht="30" customHeight="1">
      <c r="A5" s="2" t="s">
        <v>175</v>
      </c>
      <c r="B5" s="2" t="s">
        <v>176</v>
      </c>
      <c r="C5" s="2" t="s">
        <v>177</v>
      </c>
      <c r="D5" s="2" t="s">
        <v>178</v>
      </c>
    </row>
    <row r="6" spans="1:8" ht="59.1" customHeight="1">
      <c r="A6" s="21" t="s">
        <v>179</v>
      </c>
      <c r="B6" s="21" t="s">
        <v>180</v>
      </c>
      <c r="C6" s="21" t="s">
        <v>181</v>
      </c>
      <c r="D6" s="21" t="s">
        <v>182</v>
      </c>
    </row>
    <row r="7" spans="1:8" ht="59.1" customHeight="1">
      <c r="A7" s="21" t="s">
        <v>183</v>
      </c>
      <c r="B7" s="21" t="s">
        <v>184</v>
      </c>
      <c r="C7" s="21" t="s">
        <v>185</v>
      </c>
      <c r="D7" s="21" t="s">
        <v>186</v>
      </c>
    </row>
    <row r="8" spans="1:8" ht="59.1" customHeight="1">
      <c r="A8" s="21" t="s">
        <v>187</v>
      </c>
      <c r="B8" s="21" t="s">
        <v>188</v>
      </c>
      <c r="C8" s="21" t="s">
        <v>189</v>
      </c>
      <c r="D8" s="21" t="s">
        <v>190</v>
      </c>
    </row>
    <row r="9" spans="1:8" ht="59.1" customHeight="1">
      <c r="A9" s="21" t="s">
        <v>191</v>
      </c>
      <c r="B9" s="21" t="s">
        <v>192</v>
      </c>
      <c r="C9" s="21" t="s">
        <v>193</v>
      </c>
      <c r="D9" s="21" t="s">
        <v>194</v>
      </c>
    </row>
    <row r="10" spans="1:8" ht="59.1" customHeight="1">
      <c r="A10" s="21" t="s">
        <v>195</v>
      </c>
      <c r="B10" s="21" t="s">
        <v>196</v>
      </c>
      <c r="C10" s="21" t="s">
        <v>197</v>
      </c>
      <c r="D10" s="21" t="s">
        <v>198</v>
      </c>
    </row>
    <row r="11" spans="1:8" ht="59.1" customHeight="1">
      <c r="A11" s="21" t="s">
        <v>199</v>
      </c>
      <c r="B11" s="21" t="s">
        <v>200</v>
      </c>
      <c r="C11" s="21" t="s">
        <v>201</v>
      </c>
      <c r="D11" s="21" t="s">
        <v>202</v>
      </c>
    </row>
    <row r="14" spans="1:8" ht="24.95" customHeight="1">
      <c r="A14" s="42" t="s">
        <v>203</v>
      </c>
      <c r="B14" s="42"/>
      <c r="C14" s="42"/>
      <c r="D14" s="42"/>
      <c r="E14" s="42"/>
      <c r="F14" s="42"/>
      <c r="G14" s="42"/>
      <c r="H14" s="42"/>
    </row>
    <row r="16" spans="1:8">
      <c r="A16" t="s">
        <v>204</v>
      </c>
      <c r="B16" t="s">
        <v>205</v>
      </c>
    </row>
    <row r="17" spans="1:8">
      <c r="A17" t="s">
        <v>206</v>
      </c>
      <c r="B17" t="s">
        <v>207</v>
      </c>
    </row>
    <row r="18" spans="1:8">
      <c r="A18" t="s">
        <v>208</v>
      </c>
      <c r="B18" t="s">
        <v>209</v>
      </c>
    </row>
    <row r="19" spans="1:8">
      <c r="A19" t="s">
        <v>210</v>
      </c>
      <c r="B19" t="s">
        <v>211</v>
      </c>
    </row>
    <row r="20" spans="1:8">
      <c r="A20" t="s">
        <v>212</v>
      </c>
      <c r="B20" t="s">
        <v>213</v>
      </c>
    </row>
    <row r="23" spans="1:8" ht="33.950000000000003" customHeight="1">
      <c r="A23" s="43"/>
      <c r="B23" s="43"/>
      <c r="C23" s="43"/>
      <c r="D23" s="43"/>
      <c r="E23" s="43"/>
      <c r="F23" s="43"/>
      <c r="G23" s="43"/>
      <c r="H23" s="43"/>
    </row>
  </sheetData>
  <mergeCells count="4">
    <mergeCell ref="A1:H2"/>
    <mergeCell ref="A3:H3"/>
    <mergeCell ref="A14:H14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START</vt:lpstr>
      <vt:lpstr>DASHBOARD</vt:lpstr>
      <vt:lpstr>ZALOZENIA</vt:lpstr>
      <vt:lpstr>PLAN_5_LAT</vt:lpstr>
      <vt:lpstr>SCENARIUSZE</vt:lpstr>
      <vt:lpstr>PROG_RENT</vt:lpstr>
      <vt:lpstr>DANE_HISTORYCZNE</vt:lpstr>
      <vt:lpstr>TEORIA_I_KPI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</cp:lastModifiedBy>
  <dcterms:modified xsi:type="dcterms:W3CDTF">2026-10-04T20:31:03Z</dcterms:modified>
</cp:coreProperties>
</file>